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CC1B32-8BA9-42EF-A790-95D73CA8FBC9}" xr6:coauthVersionLast="47" xr6:coauthVersionMax="47" xr10:uidLastSave="{00000000-0000-0000-0000-000000000000}"/>
  <bookViews>
    <workbookView xWindow="-120" yWindow="-16320" windowWidth="29040" windowHeight="15840" tabRatio="500" activeTab="1" xr2:uid="{00000000-000D-0000-FFFF-FFFF00000000}"/>
  </bookViews>
  <sheets>
    <sheet name="Theo dõi Ngày" sheetId="1" r:id="rId1"/>
    <sheet name="Tổng hợp Tháng" sheetId="2" r:id="rId2"/>
    <sheet name="Danh mục Hành vi" sheetId="3" r:id="rId3"/>
    <sheet name="Can thiệp Tầng 2-3" sheetId="4" r:id="rId4"/>
    <sheet name="Phần thưởng &amp; Đổi điểm" sheetId="5" r:id="rId5"/>
    <sheet name="Biểu đồ &amp; Báo cáo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19" i="1" l="1"/>
  <c r="AG20" i="1"/>
  <c r="AG21" i="1"/>
  <c r="AG22" i="1"/>
  <c r="AG23" i="1"/>
  <c r="C23" i="2" s="1"/>
  <c r="D23" i="2" s="1"/>
  <c r="AG24" i="1"/>
  <c r="C24" i="2" s="1"/>
  <c r="AG25" i="1"/>
  <c r="AG26" i="1"/>
  <c r="C26" i="2" s="1"/>
  <c r="AG27" i="1"/>
  <c r="AG28" i="1"/>
  <c r="AG29" i="1"/>
  <c r="AG30" i="1"/>
  <c r="AG31" i="1"/>
  <c r="AG32" i="1"/>
  <c r="C32" i="2" s="1"/>
  <c r="AG33" i="1"/>
  <c r="C33" i="2" s="1"/>
  <c r="AG34" i="1"/>
  <c r="C34" i="2" s="1"/>
  <c r="AG35" i="1"/>
  <c r="AG36" i="1"/>
  <c r="AG37" i="1"/>
  <c r="AG38" i="1"/>
  <c r="AG39" i="1"/>
  <c r="AG40" i="1"/>
  <c r="C40" i="2" s="1"/>
  <c r="AG41" i="1"/>
  <c r="C41" i="2" s="1"/>
  <c r="AG42" i="1"/>
  <c r="C42" i="2" s="1"/>
  <c r="B8" i="6"/>
  <c r="B7" i="6"/>
  <c r="B6" i="6"/>
  <c r="B5" i="6"/>
  <c r="E42" i="2"/>
  <c r="B42" i="2"/>
  <c r="A42" i="2"/>
  <c r="E41" i="2"/>
  <c r="B41" i="2"/>
  <c r="A41" i="2"/>
  <c r="E40" i="2"/>
  <c r="B40" i="2"/>
  <c r="A40" i="2"/>
  <c r="E39" i="2"/>
  <c r="C39" i="2"/>
  <c r="H39" i="2" s="1"/>
  <c r="B39" i="2"/>
  <c r="A39" i="2"/>
  <c r="E38" i="2"/>
  <c r="B38" i="2"/>
  <c r="A38" i="2"/>
  <c r="E37" i="2"/>
  <c r="B37" i="2"/>
  <c r="A37" i="2"/>
  <c r="E36" i="2"/>
  <c r="B36" i="2"/>
  <c r="A36" i="2"/>
  <c r="E35" i="2"/>
  <c r="B35" i="2"/>
  <c r="A35" i="2"/>
  <c r="E34" i="2"/>
  <c r="B34" i="2"/>
  <c r="A34" i="2"/>
  <c r="E33" i="2"/>
  <c r="B33" i="2"/>
  <c r="A33" i="2"/>
  <c r="E32" i="2"/>
  <c r="B32" i="2"/>
  <c r="A32" i="2"/>
  <c r="E31" i="2"/>
  <c r="C31" i="2"/>
  <c r="H31" i="2" s="1"/>
  <c r="B31" i="2"/>
  <c r="A31" i="2"/>
  <c r="E30" i="2"/>
  <c r="C30" i="2"/>
  <c r="H30" i="2" s="1"/>
  <c r="B30" i="2"/>
  <c r="A30" i="2"/>
  <c r="E29" i="2"/>
  <c r="B29" i="2"/>
  <c r="A29" i="2"/>
  <c r="E28" i="2"/>
  <c r="B28" i="2"/>
  <c r="A28" i="2"/>
  <c r="E27" i="2"/>
  <c r="B27" i="2"/>
  <c r="A27" i="2"/>
  <c r="E26" i="2"/>
  <c r="B26" i="2"/>
  <c r="A26" i="2"/>
  <c r="E25" i="2"/>
  <c r="B25" i="2"/>
  <c r="A25" i="2"/>
  <c r="E24" i="2"/>
  <c r="B24" i="2"/>
  <c r="A24" i="2"/>
  <c r="E23" i="2"/>
  <c r="B23" i="2"/>
  <c r="A23" i="2"/>
  <c r="E22" i="2"/>
  <c r="C22" i="2"/>
  <c r="H22" i="2" s="1"/>
  <c r="B22" i="2"/>
  <c r="A22" i="2"/>
  <c r="E21" i="2"/>
  <c r="B21" i="2"/>
  <c r="A21" i="2"/>
  <c r="E20" i="2"/>
  <c r="B20" i="2"/>
  <c r="A20" i="2"/>
  <c r="E19" i="2"/>
  <c r="B19" i="2"/>
  <c r="A19" i="2"/>
  <c r="E18" i="2"/>
  <c r="B18" i="2"/>
  <c r="A18" i="2"/>
  <c r="E17" i="2"/>
  <c r="B17" i="2"/>
  <c r="A17" i="2"/>
  <c r="E16" i="2"/>
  <c r="B16" i="2"/>
  <c r="A16" i="2"/>
  <c r="E15" i="2"/>
  <c r="C15" i="2"/>
  <c r="H15" i="2" s="1"/>
  <c r="B15" i="2"/>
  <c r="A15" i="2"/>
  <c r="E14" i="2"/>
  <c r="D14" i="2"/>
  <c r="F14" i="2" s="1"/>
  <c r="G14" i="2" s="1"/>
  <c r="C14" i="2"/>
  <c r="H14" i="2" s="1"/>
  <c r="B14" i="2"/>
  <c r="A14" i="2"/>
  <c r="E13" i="2"/>
  <c r="B13" i="2"/>
  <c r="A13" i="2"/>
  <c r="E12" i="2"/>
  <c r="B12" i="2"/>
  <c r="A23" i="6" s="1"/>
  <c r="A12" i="2"/>
  <c r="E11" i="2"/>
  <c r="B11" i="2"/>
  <c r="A22" i="6" s="1"/>
  <c r="A11" i="2"/>
  <c r="E10" i="2"/>
  <c r="B10" i="2"/>
  <c r="A21" i="6" s="1"/>
  <c r="A10" i="2"/>
  <c r="E9" i="2"/>
  <c r="B9" i="2"/>
  <c r="A20" i="6" s="1"/>
  <c r="A9" i="2"/>
  <c r="E8" i="2"/>
  <c r="B8" i="2"/>
  <c r="A19" i="6" s="1"/>
  <c r="A8" i="2"/>
  <c r="E7" i="2"/>
  <c r="C7" i="2"/>
  <c r="B18" i="6" s="1"/>
  <c r="B7" i="2"/>
  <c r="A18" i="6" s="1"/>
  <c r="A7" i="2"/>
  <c r="E6" i="2"/>
  <c r="D6" i="2"/>
  <c r="I6" i="2" s="1"/>
  <c r="C6" i="2"/>
  <c r="H6" i="2" s="1"/>
  <c r="B6" i="2"/>
  <c r="A17" i="6" s="1"/>
  <c r="A6" i="2"/>
  <c r="E5" i="2"/>
  <c r="B5" i="2"/>
  <c r="A16" i="6" s="1"/>
  <c r="A5" i="2"/>
  <c r="E4" i="2"/>
  <c r="B4" i="2"/>
  <c r="A15" i="6" s="1"/>
  <c r="A4" i="2"/>
  <c r="E3" i="2"/>
  <c r="B3" i="2"/>
  <c r="A14" i="6" s="1"/>
  <c r="A3" i="2"/>
  <c r="C38" i="2"/>
  <c r="C37" i="2"/>
  <c r="C36" i="2"/>
  <c r="C35" i="2"/>
  <c r="C29" i="2"/>
  <c r="C28" i="2"/>
  <c r="C27" i="2"/>
  <c r="C25" i="2"/>
  <c r="C21" i="2"/>
  <c r="C20" i="2"/>
  <c r="C19" i="2"/>
  <c r="AG18" i="1"/>
  <c r="C18" i="2" s="1"/>
  <c r="AG17" i="1"/>
  <c r="C17" i="2" s="1"/>
  <c r="AG16" i="1"/>
  <c r="C16" i="2" s="1"/>
  <c r="AG15" i="1"/>
  <c r="AG14" i="1"/>
  <c r="AG13" i="1"/>
  <c r="C13" i="2" s="1"/>
  <c r="AG12" i="1"/>
  <c r="C12" i="2" s="1"/>
  <c r="AG11" i="1"/>
  <c r="C11" i="2" s="1"/>
  <c r="AG10" i="1"/>
  <c r="C10" i="2" s="1"/>
  <c r="AG9" i="1"/>
  <c r="C9" i="2" s="1"/>
  <c r="AG8" i="1"/>
  <c r="C8" i="2" s="1"/>
  <c r="AG7" i="1"/>
  <c r="AG6" i="1"/>
  <c r="AG5" i="1"/>
  <c r="C5" i="2" s="1"/>
  <c r="AG4" i="1"/>
  <c r="C4" i="2" s="1"/>
  <c r="AG3" i="1"/>
  <c r="C3" i="2" s="1"/>
  <c r="D30" i="2" l="1"/>
  <c r="I30" i="2" s="1"/>
  <c r="D22" i="2"/>
  <c r="F22" i="2" s="1"/>
  <c r="G22" i="2" s="1"/>
  <c r="D5" i="2"/>
  <c r="B16" i="6"/>
  <c r="H5" i="2"/>
  <c r="D29" i="2"/>
  <c r="H29" i="2"/>
  <c r="B15" i="6"/>
  <c r="F16" i="5"/>
  <c r="D4" i="2"/>
  <c r="H4" i="2"/>
  <c r="B23" i="6"/>
  <c r="D12" i="2"/>
  <c r="H12" i="2"/>
  <c r="D20" i="2"/>
  <c r="H20" i="2"/>
  <c r="D28" i="2"/>
  <c r="H28" i="2"/>
  <c r="D36" i="2"/>
  <c r="H36" i="2"/>
  <c r="D38" i="2"/>
  <c r="H38" i="2"/>
  <c r="I23" i="2"/>
  <c r="F23" i="2"/>
  <c r="G23" i="2" s="1"/>
  <c r="D13" i="2"/>
  <c r="H13" i="2"/>
  <c r="D21" i="2"/>
  <c r="H21" i="2"/>
  <c r="D37" i="2"/>
  <c r="H37" i="2"/>
  <c r="B19" i="6"/>
  <c r="H8" i="2"/>
  <c r="D8" i="2"/>
  <c r="H16" i="2"/>
  <c r="D16" i="2"/>
  <c r="H24" i="2"/>
  <c r="D24" i="2"/>
  <c r="H32" i="2"/>
  <c r="D32" i="2"/>
  <c r="H40" i="2"/>
  <c r="D40" i="2"/>
  <c r="H9" i="2"/>
  <c r="B20" i="6"/>
  <c r="D9" i="2"/>
  <c r="H17" i="2"/>
  <c r="D17" i="2"/>
  <c r="H25" i="2"/>
  <c r="D25" i="2"/>
  <c r="H33" i="2"/>
  <c r="D33" i="2"/>
  <c r="H41" i="2"/>
  <c r="D41" i="2"/>
  <c r="D10" i="2"/>
  <c r="B21" i="6"/>
  <c r="H10" i="2"/>
  <c r="D18" i="2"/>
  <c r="H18" i="2"/>
  <c r="D26" i="2"/>
  <c r="H26" i="2"/>
  <c r="D34" i="2"/>
  <c r="H34" i="2"/>
  <c r="H42" i="2"/>
  <c r="D42" i="2"/>
  <c r="F15" i="5"/>
  <c r="B14" i="6"/>
  <c r="D3" i="2"/>
  <c r="B35" i="6"/>
  <c r="B34" i="6"/>
  <c r="B33" i="6"/>
  <c r="H3" i="2"/>
  <c r="B22" i="6"/>
  <c r="D11" i="2"/>
  <c r="H11" i="2"/>
  <c r="D19" i="2"/>
  <c r="H19" i="2"/>
  <c r="H27" i="2"/>
  <c r="D27" i="2"/>
  <c r="D35" i="2"/>
  <c r="H35" i="2"/>
  <c r="D15" i="2"/>
  <c r="D31" i="2"/>
  <c r="D39" i="2"/>
  <c r="F6" i="2"/>
  <c r="G6" i="2" s="1"/>
  <c r="H7" i="2"/>
  <c r="I14" i="2"/>
  <c r="H23" i="2"/>
  <c r="B17" i="6"/>
  <c r="D7" i="2"/>
  <c r="I22" i="2" l="1"/>
  <c r="F30" i="2"/>
  <c r="G30" i="2" s="1"/>
  <c r="F18" i="2"/>
  <c r="G18" i="2" s="1"/>
  <c r="I18" i="2"/>
  <c r="F25" i="2"/>
  <c r="G25" i="2" s="1"/>
  <c r="I25" i="2"/>
  <c r="I7" i="2"/>
  <c r="F7" i="2"/>
  <c r="G7" i="2" s="1"/>
  <c r="F3" i="2"/>
  <c r="I3" i="2"/>
  <c r="I33" i="2"/>
  <c r="F33" i="2"/>
  <c r="G33" i="2" s="1"/>
  <c r="I40" i="2"/>
  <c r="F40" i="2"/>
  <c r="G40" i="2" s="1"/>
  <c r="F28" i="2"/>
  <c r="G28" i="2" s="1"/>
  <c r="I28" i="2"/>
  <c r="F42" i="2"/>
  <c r="G42" i="2" s="1"/>
  <c r="I42" i="2"/>
  <c r="I39" i="2"/>
  <c r="F39" i="2"/>
  <c r="G39" i="2" s="1"/>
  <c r="I15" i="2"/>
  <c r="F15" i="2"/>
  <c r="G15" i="2" s="1"/>
  <c r="I32" i="2"/>
  <c r="F32" i="2"/>
  <c r="G32" i="2" s="1"/>
  <c r="F35" i="2"/>
  <c r="G35" i="2" s="1"/>
  <c r="I35" i="2"/>
  <c r="F17" i="2"/>
  <c r="G17" i="2" s="1"/>
  <c r="I17" i="2"/>
  <c r="F29" i="2"/>
  <c r="G29" i="2" s="1"/>
  <c r="I29" i="2"/>
  <c r="F27" i="2"/>
  <c r="G27" i="2" s="1"/>
  <c r="I27" i="2"/>
  <c r="F10" i="2"/>
  <c r="G10" i="2" s="1"/>
  <c r="I10" i="2"/>
  <c r="I24" i="2"/>
  <c r="F24" i="2"/>
  <c r="G24" i="2" s="1"/>
  <c r="I37" i="2"/>
  <c r="F37" i="2"/>
  <c r="G37" i="2" s="1"/>
  <c r="I38" i="2"/>
  <c r="F38" i="2"/>
  <c r="G38" i="2" s="1"/>
  <c r="I12" i="2"/>
  <c r="F12" i="2"/>
  <c r="G12" i="2" s="1"/>
  <c r="F19" i="2"/>
  <c r="G19" i="2" s="1"/>
  <c r="I19" i="2"/>
  <c r="F26" i="2"/>
  <c r="G26" i="2" s="1"/>
  <c r="I26" i="2"/>
  <c r="I4" i="2"/>
  <c r="F4" i="2"/>
  <c r="G4" i="2" s="1"/>
  <c r="I31" i="2"/>
  <c r="F31" i="2"/>
  <c r="G31" i="2" s="1"/>
  <c r="I8" i="2"/>
  <c r="F8" i="2"/>
  <c r="G8" i="2" s="1"/>
  <c r="I13" i="2"/>
  <c r="F13" i="2"/>
  <c r="G13" i="2" s="1"/>
  <c r="F11" i="2"/>
  <c r="G11" i="2" s="1"/>
  <c r="I11" i="2"/>
  <c r="I20" i="2"/>
  <c r="F20" i="2"/>
  <c r="G20" i="2" s="1"/>
  <c r="F34" i="2"/>
  <c r="G34" i="2" s="1"/>
  <c r="I34" i="2"/>
  <c r="F41" i="2"/>
  <c r="G41" i="2" s="1"/>
  <c r="I41" i="2"/>
  <c r="F9" i="2"/>
  <c r="G9" i="2" s="1"/>
  <c r="I9" i="2"/>
  <c r="I16" i="2"/>
  <c r="F16" i="2"/>
  <c r="G16" i="2" s="1"/>
  <c r="I21" i="2"/>
  <c r="F21" i="2"/>
  <c r="G21" i="2" s="1"/>
  <c r="F36" i="2"/>
  <c r="G36" i="2" s="1"/>
  <c r="I36" i="2"/>
  <c r="I5" i="2"/>
  <c r="F5" i="2"/>
  <c r="G5" i="2" s="1"/>
  <c r="B44" i="6" l="1"/>
  <c r="B43" i="6"/>
  <c r="B40" i="6"/>
  <c r="B52" i="2"/>
  <c r="B39" i="6"/>
  <c r="B51" i="2"/>
  <c r="B38" i="6"/>
  <c r="B50" i="2"/>
  <c r="G3" i="2"/>
  <c r="B48" i="2"/>
  <c r="B47" i="2"/>
  <c r="B46" i="2"/>
</calcChain>
</file>

<file path=xl/sharedStrings.xml><?xml version="1.0" encoding="utf-8"?>
<sst xmlns="http://schemas.openxmlformats.org/spreadsheetml/2006/main" count="293" uniqueCount="239">
  <si>
    <t>BẢNG THEO DÕI NGÔI SAO TÍCH CỰC - LỚP 10A1 - THÁNG 3/2026</t>
  </si>
  <si>
    <t>STT</t>
  </si>
  <si>
    <t>Họ và Tên</t>
  </si>
  <si>
    <t>Ngày 1</t>
  </si>
  <si>
    <t>Ngày 2</t>
  </si>
  <si>
    <t>Ngày 3</t>
  </si>
  <si>
    <t>Ngày 4</t>
  </si>
  <si>
    <t>Ngày 5</t>
  </si>
  <si>
    <t>Ngày 6</t>
  </si>
  <si>
    <t>Ngày 7</t>
  </si>
  <si>
    <t>Ngày 8</t>
  </si>
  <si>
    <t>Ngày 9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</si>
  <si>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</si>
  <si>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</si>
  <si>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</si>
  <si>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</si>
  <si>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</si>
  <si>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</si>
  <si>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</si>
  <si>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</si>
  <si>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</si>
  <si>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</si>
  <si>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</si>
  <si>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</si>
  <si>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</si>
  <si>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</si>
  <si>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</si>
  <si>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</si>
  <si>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</si>
  <si>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</si>
  <si>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</si>
  <si>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</si>
  <si>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</si>
  <si>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Tổng Tháng</t>
  </si>
  <si>
    <t>Ghi chú</t>
  </si>
  <si>
    <t>Lê Văn C</t>
  </si>
  <si>
    <t>Tiến bộ rõ rệt</t>
  </si>
  <si>
    <t>Nguyễn Văn A</t>
  </si>
  <si>
    <t>Trần Minh D</t>
  </si>
  <si>
    <t>Cần chú ý</t>
  </si>
  <si>
    <t>Phạm Thị E</t>
  </si>
  <si>
    <t>Hoàng Văn F</t>
  </si>
  <si>
    <t>Ổn định</t>
  </si>
  <si>
    <t>Đỗ Thị G</t>
  </si>
  <si>
    <t>Vũ Văn H</t>
  </si>
  <si>
    <t>Bùi Thị I</t>
  </si>
  <si>
    <t>Ngô Văn K</t>
  </si>
  <si>
    <t>Đặng Thị L</t>
  </si>
  <si>
    <t>Lý Văn M</t>
  </si>
  <si>
    <t>Phan Thị N</t>
  </si>
  <si>
    <t>Đinh Văn O</t>
  </si>
  <si>
    <t>Xuất sắc</t>
  </si>
  <si>
    <t>Hồ Thị P</t>
  </si>
  <si>
    <t>Trần Thị B</t>
  </si>
  <si>
    <t>Mai Văn Q</t>
  </si>
  <si>
    <t>Dương Thị R</t>
  </si>
  <si>
    <t>Tô Văn S</t>
  </si>
  <si>
    <t>Châu Thị T</t>
  </si>
  <si>
    <t>Lâm Văn U</t>
  </si>
  <si>
    <t>Cao Thị V</t>
  </si>
  <si>
    <t>Tích cực</t>
  </si>
  <si>
    <t>Trịnh Văn W</t>
  </si>
  <si>
    <t>Từ Thị X</t>
  </si>
  <si>
    <t>Huỳnh Văn Y</t>
  </si>
  <si>
    <t>Võ Thị Z</t>
  </si>
  <si>
    <t>Cần động viên</t>
  </si>
  <si>
    <t>Nguyễn Minh AA</t>
  </si>
  <si>
    <t>Trần Văn AB</t>
  </si>
  <si>
    <t>Lê Thị AC</t>
  </si>
  <si>
    <t>Phạm Văn AD</t>
  </si>
  <si>
    <t>Hoàng Thị AE</t>
  </si>
  <si>
    <t>Đỗ Văn AF</t>
  </si>
  <si>
    <t>Vũ Thị AG</t>
  </si>
  <si>
    <t>Bùi Văn AH</t>
  </si>
  <si>
    <t>Ngô Thị AI</t>
  </si>
  <si>
    <t>Phạm Văn D</t>
  </si>
  <si>
    <t>Đặng Văn AK</t>
  </si>
  <si>
    <t>Lý Thị AL</t>
  </si>
  <si>
    <t>Phan Văn AM</t>
  </si>
  <si>
    <t>Đinh Thị AN</t>
  </si>
  <si>
    <t>Hồ Văn AO</t>
  </si>
  <si>
    <t>BẢNG TỔNG HỢP THÁNG - LỚP 10A1 - THÁNG 3/2026</t>
  </si>
  <si>
    <t>Xếp hạng</t>
  </si>
  <si>
    <t>Tổng Ngôi sao</t>
  </si>
  <si>
    <t>Trung bình/Ngày</t>
  </si>
  <si>
    <t>Số ngày đạt ≥5 sao</t>
  </si>
  <si>
    <t>Nhóm Tầng</t>
  </si>
  <si>
    <t>Hành động</t>
  </si>
  <si>
    <t>Level</t>
  </si>
  <si>
    <t>Cảnh báo</t>
  </si>
  <si>
    <t>THỐNG KÊ PHÂN BỔ TẦNG</t>
  </si>
  <si>
    <t>Tầng 1 (Tốt):</t>
  </si>
  <si>
    <t>Tầng 2 (Cần hỗ trợ):</t>
  </si>
  <si>
    <t>Tầng 3 (Can thiệp):</t>
  </si>
  <si>
    <t>Tầng 1</t>
  </si>
  <si>
    <t>Tầng 2</t>
  </si>
  <si>
    <t>Tầng 3</t>
  </si>
  <si>
    <t>DANH MỤC HÀNH VI MONG ĐỢI - HỆ THỐNG PBIS</t>
  </si>
  <si>
    <t>Mã HV</t>
  </si>
  <si>
    <t>Hành vi Mong đợi</t>
  </si>
  <si>
    <t>Định nghĩa Cụ thể</t>
  </si>
  <si>
    <t>Ví dụ Quan sát được</t>
  </si>
  <si>
    <t>Số Ngôi sao</t>
  </si>
  <si>
    <t>HV01</t>
  </si>
  <si>
    <t>Tham gia Phát biểu</t>
  </si>
  <si>
    <t>Giơ tay và trả lời câu hỏi của giáo viên, không cần đúng 100%</t>
  </si>
  <si>
    <t>Em giơ tay cao, nói rõ ràng: "Thưa thầy, em nghĩ đáp án là B vì..."</t>
  </si>
  <si>
    <t>1 sao/lần</t>
  </si>
  <si>
    <t>HV02</t>
  </si>
  <si>
    <t>Giúp đỡ Bạn bè</t>
  </si>
  <si>
    <t>Chủ động hỗ trợ bạn học bài, giải thích kiến thức, cho mượn đồ dùng</t>
  </si>
  <si>
    <t>Em A giải thích bài toán cho em B trong giờ tự học</t>
  </si>
  <si>
    <t>2 sao/lần</t>
  </si>
  <si>
    <t>HV03</t>
  </si>
  <si>
    <t>Hoàn thành Đúng hạn</t>
  </si>
  <si>
    <t>Nộp bài tập, đồ án đúng hoặc trước deadline</t>
  </si>
  <si>
    <t>Nộp bài tập Toán trước 7h sáng thứ 2</t>
  </si>
  <si>
    <t>1 sao/bài</t>
  </si>
  <si>
    <t>HV04</t>
  </si>
  <si>
    <t>Giữ gìn Vệ sinh</t>
  </si>
  <si>
    <t>Nhặt rác không phải của mình, lau bảng, sắp xếp bàn ghế</t>
  </si>
  <si>
    <t>Em C nhặt giấy vụn dưới sàn sau giờ ra chơi</t>
  </si>
  <si>
    <t>HV05</t>
  </si>
  <si>
    <t>Đến lớp Đúng giờ</t>
  </si>
  <si>
    <t>Có mặt trong lớp trước 7h00 sáng, đồng phục gọn gàng</t>
  </si>
  <si>
    <t>Em D đến lớp lúc 6h55, áo sơ mi là phẳng</t>
  </si>
  <si>
    <t>1 sao/ngày</t>
  </si>
  <si>
    <t>HV06</t>
  </si>
  <si>
    <t>Tôn trọng Ý kiến</t>
  </si>
  <si>
    <t>Lắng nghe bạn nói hết, không ngắt lời, phản hồi lịch sự</t>
  </si>
  <si>
    <t>"Em đồng ý với ý kiến của bạn E, và em muốn bổ sung thêm..."</t>
  </si>
  <si>
    <t>HV07</t>
  </si>
  <si>
    <t>Sáng tạo Giải pháp</t>
  </si>
  <si>
    <t>Đưa ra ý tưởng mới trong hoạt động nhóm, dự án lớp</t>
  </si>
  <si>
    <t>Em F đề xuất dùng Canva để làm poster thay vì vẽ tay</t>
  </si>
  <si>
    <t>3 sao/lần</t>
  </si>
  <si>
    <t>HV08</t>
  </si>
  <si>
    <t>Tự học Chủ động</t>
  </si>
  <si>
    <t>Tự tìm tài liệu, hỏi thêm giáo viên ngoài giờ, làm bài nâng cao</t>
  </si>
  <si>
    <t>Em G hỏi thầy về bài toán Olympic sau giờ tan trường</t>
  </si>
  <si>
    <t>HƯỚNG DẪN SỬ DỤNG</t>
  </si>
  <si>
    <t>📌 In ra A4: Dán lên tường lớp học, mọi người đều thấy</t>
  </si>
  <si>
    <t>📌 Chia sẻ cho phụ huynh: Gửi qua Zalo nhóm lớp</t>
  </si>
  <si>
    <t>📌 Cập nhật định kỳ: Mỗi tháng bổ sung thêm 1-2 hành vi mới dựa trên nhu cầu lớp</t>
  </si>
  <si>
    <t>THEO DÕI CAN THIỆP TẦNG 2-3</t>
  </si>
  <si>
    <t>BẢNG CAN THIỆP TẦNG 2 (Nhóm nhỏ)</t>
  </si>
  <si>
    <t>Vấn đề Chính</t>
  </si>
  <si>
    <t>Can thiệp Áp dụng</t>
  </si>
  <si>
    <t>Người Phụ trách</t>
  </si>
  <si>
    <t>Ngày Bắt đầu</t>
  </si>
  <si>
    <t>Ngày Đánh giá</t>
  </si>
  <si>
    <t>Tiến triển</t>
  </si>
  <si>
    <t>Trạng thái</t>
  </si>
  <si>
    <t>Hay đến muộn, quên đồ</t>
  </si>
  <si>
    <t>Check-in buổi sáng + Checklist</t>
  </si>
  <si>
    <t>GVCN</t>
  </si>
  <si>
    <t>01/03/2026</t>
  </si>
  <si>
    <t>15/03/2026</t>
  </si>
  <si>
    <t>Giảm từ 8 lần/tháng → 3 lần/tháng</t>
  </si>
  <si>
    <t>Đang cải thiện</t>
  </si>
  <si>
    <t>Lê Văn H</t>
  </si>
  <si>
    <t>Ít tham gia phát biểu</t>
  </si>
  <si>
    <t>Nhóm kỹ năng giao tiếp (5 em)</t>
  </si>
  <si>
    <t>GV Văn</t>
  </si>
  <si>
    <t>05/03/2026</t>
  </si>
  <si>
    <t>20/03/2026</t>
  </si>
  <si>
    <t>Tăng từ 0 lần/tuần → 2 lần/tuần</t>
  </si>
  <si>
    <t>BẢNG CAN THIỆP TẦNG 3 (Cá nhân)</t>
  </si>
  <si>
    <t>Đánh giá Chức năng HV (FBA)</t>
  </si>
  <si>
    <t>Kế hoạch Can thiệp (BIP)</t>
  </si>
  <si>
    <t>Nhóm Hỗ trợ</t>
  </si>
  <si>
    <t>Tần suất Họp</t>
  </si>
  <si>
    <t>Kết quả Gần nhất</t>
  </si>
  <si>
    <t>Hành vi gây rối do thiếu sự chú ý, gia đình ít quan tâm</t>
  </si>
  <si>
    <t>- Góc yên tĩnh trong lớp
- 15 phút tư vấn/ngày
- Gặp phụ huynh 1 lần/tuần</t>
  </si>
  <si>
    <t>GVCN + Tâm lý + Phụ huynh</t>
  </si>
  <si>
    <t>1 lần/2 tuần</t>
  </si>
  <si>
    <t>Giảm 60% hành vi gây rối sau 1 tháng</t>
  </si>
  <si>
    <t>MENU PHẦN THƯỞNG &amp; ĐỔI ĐIỂM</t>
  </si>
  <si>
    <t>BẢNG MENU PHẦN THƯỞNG</t>
  </si>
  <si>
    <t>Mã PT</t>
  </si>
  <si>
    <t>Tên Phần thưởng</t>
  </si>
  <si>
    <t>Số Ngôi sao Cần</t>
  </si>
  <si>
    <t>Mô tả Chi tiết</t>
  </si>
  <si>
    <t>Số lượng Còn</t>
  </si>
  <si>
    <t>Hạn sử dụng</t>
  </si>
  <si>
    <t>PT01</t>
  </si>
  <si>
    <t>Chọn chỗ ngồi 1 tuần</t>
  </si>
  <si>
    <t>Được chọn vị trí ngồi yêu thích trong 1 tuần</t>
  </si>
  <si>
    <t>Không giới hạn</t>
  </si>
  <si>
    <t>Đổi trước thứ 6 hàng tuần</t>
  </si>
  <si>
    <t>PT02</t>
  </si>
  <si>
    <t>Miễn 1 bài tập về nhà</t>
  </si>
  <si>
    <t>Được miễn làm 1 bài tập bất kỳ (trừ bài kiểm tra)</t>
  </si>
  <si>
    <t>5 suất/tháng</t>
  </si>
  <si>
    <t>Thông báo trước 1 ngày</t>
  </si>
  <si>
    <t>PT03</t>
  </si>
  <si>
    <t>Ăn trưa cùng GVCN</t>
  </si>
  <si>
    <t>Ăn trưa và trò chuyện với thầy/cô tại căng tin</t>
  </si>
  <si>
    <t>2 suất/tháng</t>
  </si>
  <si>
    <t>Đặt trước 3 ngày</t>
  </si>
  <si>
    <t>PT04</t>
  </si>
  <si>
    <t>Thẻ "Ra khỏi lớp 5 phút"</t>
  </si>
  <si>
    <t>Được phép ra khỏi lớp 5 phút khi cảm thấy căng thẳng</t>
  </si>
  <si>
    <t>10 suất/tháng</t>
  </si>
  <si>
    <t>Sử dụng ngay</t>
  </si>
  <si>
    <t>PT05</t>
  </si>
  <si>
    <t>Voucher nhà sách 50k</t>
  </si>
  <si>
    <t>Phiếu mua sách tại nhà sách Fahasa</t>
  </si>
  <si>
    <t>3 suất/tháng</t>
  </si>
  <si>
    <t>Hết tháng hết hạn</t>
  </si>
  <si>
    <t>PT06</t>
  </si>
  <si>
    <t>Được dẫn hoạt động lớp</t>
  </si>
  <si>
    <t>Làm MC buổi sinh hoạt lớp hoặc dẫn trò chơi</t>
  </si>
  <si>
    <t>1 suất/tháng</t>
  </si>
  <si>
    <t>Đăng ký trước 1 tuần</t>
  </si>
  <si>
    <t>LỊCH SỬ ĐỔI ĐIỂM</t>
  </si>
  <si>
    <t>Ngày Đổi</t>
  </si>
  <si>
    <t>Số Sao Trừ</t>
  </si>
  <si>
    <t>Số Sao Còn lại</t>
  </si>
  <si>
    <t>Người Duyệt</t>
  </si>
  <si>
    <t>10/03/2026</t>
  </si>
  <si>
    <t>BIỂU ĐỒ &amp; BÁO CÁO PBIS - LỚP 10A1 - THÁNG 3/2026</t>
  </si>
  <si>
    <t>Biểu đồ 1: Xu hướng Ngôi sao Cả lớp Theo Tuần</t>
  </si>
  <si>
    <t>Tuần</t>
  </si>
  <si>
    <t>Tuần 1</t>
  </si>
  <si>
    <t>Tuần 2</t>
  </si>
  <si>
    <t>Tuần 3</t>
  </si>
  <si>
    <t>Tuần 4</t>
  </si>
  <si>
    <t>Biểu đồ 2: Top 10 Học sinh Xuất sắc</t>
  </si>
  <si>
    <t>BÁO CÁO TỰ ĐỘNG - THÁNG 3/2026 - LỚP 10A1</t>
  </si>
  <si>
    <t>📊 THỐNG KÊ TỔNG QUAN</t>
  </si>
  <si>
    <t>Tổng ngôi sao cả lớp:</t>
  </si>
  <si>
    <t>Trung bình/học sinh:</t>
  </si>
  <si>
    <t>HS đạt ≥100 sao:</t>
  </si>
  <si>
    <t>🎯 PHÂN BỔ TẦNG</t>
  </si>
  <si>
    <t>⚠️ CẦN CHÚ Ý</t>
  </si>
  <si>
    <t>HS cần can thiệp Tầng 2:</t>
  </si>
  <si>
    <t>HS cần can thiệp Tầng 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</si>
</sst>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4CAF50"/>
      <name val="Arial"/>
      <charset val="1"/>
    </font>
    <font>
      <b/>
      <sz val="11"/>
      <name val="Cambria"/>
      <charset val="1"/>
    </font>
    <font>
      <b/>
      <sz val="11"/>
      <color rgb="FFD32F2F"/>
      <name val="Cambria"/>
      <charset val="1"/>
    </font>
    <font>
      <b/>
      <sz val="12"/>
      <color rgb="FF2E5090"/>
      <name val="Arial"/>
      <charset val="1"/>
    </font>
    <font>
      <b/>
      <sz val="11"/>
      <color rgb="FF2E5090"/>
      <name val="Arial"/>
      <charset val="1"/>
    </font>
    <font>
      <b/>
      <sz val="12"/>
      <color rgb="FF4CAF50"/>
      <name val="Cambria"/>
      <charset val="1"/>
    </font>
    <font>
      <sz val="11"/>
      <color rgb="FF2E7D32"/>
      <name val="Cambria"/>
      <charset val="1"/>
    </font>
    <font>
      <sz val="11"/>
      <color rgb="FFE65100"/>
      <name val="Cambria"/>
      <charset val="1"/>
    </font>
    <font>
      <sz val="11"/>
      <color rgb="FFD32F2F"/>
      <name val="Cambria"/>
      <charset val="1"/>
    </font>
    <font>
      <b/>
      <sz val="11"/>
      <color rgb="FFD32F2F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49">
    <dxf>
      <fill>
        <patternFill>
          <bgColor rgb="FFFFCDD2"/>
        </patternFill>
      </fill>
    </dxf>
    <dxf>
      <fill>
        <patternFill>
          <bgColor rgb="FFC8E6C9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  <dxf>
      <fill>
        <patternFill>
          <bgColor rgb="FFFFCDD2"/>
        </patternFill>
      </fill>
    </dxf>
    <dxf>
      <fill>
        <patternFill>
          <bgColor rgb="FFFFF3E0"/>
        </patternFill>
      </fill>
    </dxf>
    <dxf>
      <fill>
        <patternFill>
          <bgColor rgb="FFC8E6C9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D32F2F"/>
      </font>
      <fill>
        <patternFill>
          <bgColor rgb="FFFFE0B2"/>
        </patternFill>
      </fill>
    </dxf>
    <dxf>
      <font>
        <color rgb="FFE65100"/>
      </font>
      <fill>
        <patternFill>
          <bgColor rgb="FFFFF9C4"/>
        </patternFill>
      </fill>
    </dxf>
    <dxf>
      <font>
        <color rgb="FF2E7D32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878787"/>
      <rgbColor rgb="FF9999FF"/>
      <rgbColor rgb="FFD32F2F"/>
      <rgbColor rgb="FFFFF9C4"/>
      <rgbColor rgb="FFE3F2FD"/>
      <rgbColor rgb="FF660066"/>
      <rgbColor rgb="FFF4433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FFEBEE"/>
      <rgbColor rgb="FFFFCDD2"/>
      <rgbColor rgb="FFF9F9F9"/>
      <rgbColor rgb="FFFFE0B2"/>
      <rgbColor rgb="FF3366FF"/>
      <rgbColor rgb="FF33CCCC"/>
      <rgbColor rgb="FF99CC00"/>
      <rgbColor rgb="FFFFCC00"/>
      <rgbColor rgb="FFFF9800"/>
      <rgbColor rgb="FFE65100"/>
      <rgbColor rgb="FF4F81BD"/>
      <rgbColor rgb="FF969696"/>
      <rgbColor rgb="FF003366"/>
      <rgbColor rgb="FF4CAF50"/>
      <rgbColor rgb="FF003300"/>
      <rgbColor rgb="FF333300"/>
      <rgbColor rgb="FFB71C1C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Phân bổ Tầng Học sinh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CAF5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FFA-4E1E-8AC4-CEF31F818E60}"/>
              </c:ext>
            </c:extLst>
          </c:dPt>
          <c:dPt>
            <c:idx val="1"/>
            <c:bubble3D val="0"/>
            <c:spPr>
              <a:solidFill>
                <a:srgbClr val="FF98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FFA-4E1E-8AC4-CEF31F818E60}"/>
              </c:ext>
            </c:extLst>
          </c:dPt>
          <c:dPt>
            <c:idx val="2"/>
            <c:bubble3D val="0"/>
            <c:spPr>
              <a:solidFill>
                <a:srgbClr val="F4433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FFA-4E1E-8AC4-CEF31F818E6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BFFA-4E1E-8AC4-CEF31F818E6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BFFA-4E1E-8AC4-CEF31F818E6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BFFA-4E1E-8AC4-CEF31F818E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'Tổng hợp Tháng'!$A$50:$A$52</c:f>
              <c:strCache>
                <c:ptCount val="3"/>
                <c:pt idx="0">
                  <c:v>Tầng 1</c:v>
                </c:pt>
                <c:pt idx="1">
                  <c:v>Tầng 2</c:v>
                </c:pt>
                <c:pt idx="2">
                  <c:v>Tầng 3</c:v>
                </c:pt>
              </c:strCache>
            </c:strRef>
          </c:cat>
          <c:val>
            <c:numRef>
              <c:f>'Tổng hợp Tháng'!$B$50:$B$52</c:f>
              <c:numCache>
                <c:formatCode>General</c:formatCode>
                <c:ptCount val="3"/>
                <c:pt idx="0">
                  <c:v>14</c:v>
                </c:pt>
                <c:pt idx="1">
                  <c:v>21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FA-4E1E-8AC4-CEF31F818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Xu hướng Ngôi sao Cả lớp Theo Tuần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'Biểu đồ &amp; Báo cáo'!$B$4</c:f>
              <c:strCache>
                <c:ptCount val="1"/>
                <c:pt idx="0">
                  <c:v>Tổng Ngôi sao</c:v>
                </c:pt>
              </c:strCache>
            </c:strRef>
          </c:tx>
          <c:spPr>
            <a:ln w="29880">
              <a:solidFill>
                <a:srgbClr val="2E509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'Biểu đồ &amp; Báo cáo'!$A$5:$A$8</c:f>
              <c:strCache>
                <c:ptCount val="4"/>
                <c:pt idx="0">
                  <c:v>Tuần 1</c:v>
                </c:pt>
                <c:pt idx="1">
                  <c:v>Tuần 2</c:v>
                </c:pt>
                <c:pt idx="2">
                  <c:v>Tuần 3</c:v>
                </c:pt>
                <c:pt idx="3">
                  <c:v>Tuần 4</c:v>
                </c:pt>
              </c:strCache>
            </c:strRef>
          </c:cat>
          <c:val>
            <c:numRef>
              <c:f>'Biểu đồ &amp; Báo cáo'!$B$5:$B$8</c:f>
              <c:numCache>
                <c:formatCode>General</c:formatCode>
                <c:ptCount val="4"/>
                <c:pt idx="0">
                  <c:v>988</c:v>
                </c:pt>
                <c:pt idx="1">
                  <c:v>952</c:v>
                </c:pt>
                <c:pt idx="2">
                  <c:v>945</c:v>
                </c:pt>
                <c:pt idx="3">
                  <c:v>1310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CF-45C4-9120-956787023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212826"/>
        <c:axId val="75189800"/>
      </c:lineChart>
      <c:catAx>
        <c:axId val="912128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Tuần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75189800"/>
        <c:crosses val="autoZero"/>
        <c:auto val="1"/>
        <c:lblAlgn val="ctr"/>
        <c:lblOffset val="100"/>
        <c:noMultiLvlLbl val="0"/>
      </c:catAx>
      <c:valAx>
        <c:axId val="75189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Tổng Ngôi sao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912128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Top 10 Học sinh Xuất sắc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'Biểu đồ &amp; Báo cáo'!$B$13</c:f>
              <c:strCache>
                <c:ptCount val="1"/>
                <c:pt idx="0">
                  <c:v>Tổng Ngôi sao</c:v>
                </c:pt>
              </c:strCache>
            </c:strRef>
          </c:tx>
          <c:spPr>
            <a:solidFill>
              <a:srgbClr val="4CAF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'Biểu đồ &amp; Báo cáo'!$A$14:$A$23</c:f>
              <c:strCache>
                <c:ptCount val="10"/>
                <c:pt idx="0">
                  <c:v>Lê Văn C</c:v>
                </c:pt>
                <c:pt idx="1">
                  <c:v>Nguyễn Văn A</c:v>
                </c:pt>
                <c:pt idx="2">
                  <c:v>Trần Minh D</c:v>
                </c:pt>
                <c:pt idx="3">
                  <c:v>Phạm Thị E</c:v>
                </c:pt>
                <c:pt idx="4">
                  <c:v>Hoàng Văn F</c:v>
                </c:pt>
                <c:pt idx="5">
                  <c:v>Đỗ Thị G</c:v>
                </c:pt>
                <c:pt idx="6">
                  <c:v>Vũ Văn H</c:v>
                </c:pt>
                <c:pt idx="7">
                  <c:v>Bùi Thị I</c:v>
                </c:pt>
                <c:pt idx="8">
                  <c:v>Ngô Văn K</c:v>
                </c:pt>
                <c:pt idx="9">
                  <c:v>Đặng Thị L</c:v>
                </c:pt>
              </c:strCache>
            </c:strRef>
          </c:cat>
          <c:val>
            <c:numRef>
              <c:f>'Biểu đồ &amp; Báo cáo'!$B$14:$B$23</c:f>
              <c:numCache>
                <c:formatCode>General</c:formatCode>
                <c:ptCount val="10"/>
                <c:pt idx="0">
                  <c:v>165</c:v>
                </c:pt>
                <c:pt idx="1">
                  <c:v>151</c:v>
                </c:pt>
                <c:pt idx="2">
                  <c:v>167</c:v>
                </c:pt>
                <c:pt idx="3">
                  <c:v>169</c:v>
                </c:pt>
                <c:pt idx="4">
                  <c:v>165</c:v>
                </c:pt>
                <c:pt idx="5">
                  <c:v>124</c:v>
                </c:pt>
                <c:pt idx="6">
                  <c:v>118</c:v>
                </c:pt>
                <c:pt idx="7">
                  <c:v>112</c:v>
                </c:pt>
                <c:pt idx="8">
                  <c:v>111</c:v>
                </c:pt>
                <c:pt idx="9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0-4ACF-95C7-9BF83884D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96830"/>
        <c:axId val="10032068"/>
      </c:barChart>
      <c:catAx>
        <c:axId val="4809683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10032068"/>
        <c:crosses val="autoZero"/>
        <c:auto val="1"/>
        <c:lblAlgn val="ctr"/>
        <c:lblOffset val="100"/>
        <c:noMultiLvlLbl val="0"/>
      </c:catAx>
      <c:valAx>
        <c:axId val="100320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48096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44</xdr:row>
      <xdr:rowOff>0</xdr:rowOff>
    </xdr:from>
    <xdr:to>
      <xdr:col>8</xdr:col>
      <xdr:colOff>1077695</xdr:colOff>
      <xdr:row>66</xdr:row>
      <xdr:rowOff>125345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14</xdr:col>
      <xdr:colOff>27000</xdr:colOff>
      <xdr:row>24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11</xdr:row>
      <xdr:rowOff>0</xdr:rowOff>
    </xdr:from>
    <xdr:to>
      <xdr:col>14</xdr:col>
      <xdr:colOff>27000</xdr:colOff>
      <xdr:row>37</xdr:row>
      <xdr:rowOff>56880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"/>
  <sheetViews>
    <sheetView zoomScaleNormal="100" workbookViewId="0">
      <pane xSplit="2" ySplit="2" topLeftCell="O18" activePane="bottomRight" state="frozen"/>
      <selection pane="topRight" activeCell="C1" sqref="C1"/>
      <selection pane="bottomLeft" activeCell="A3" sqref="A3"/>
      <selection pane="bottomRight" activeCell="AH18" sqref="AH18"/>
    </sheetView>
  </sheetViews>
  <sheetFormatPr defaultColWidth="8.6328125" defaultRowHeight="14.5" x14ac:dyDescent="0.35"/>
  <cols>
    <col min="1" max="1" width="5" customWidth="1"/>
    <col min="2" max="2" width="22" customWidth="1"/>
    <col min="3" max="32" width="6" customWidth="1"/>
    <col min="33" max="33" width="12" customWidth="1"/>
    <col min="34" max="34" width="20" customWidth="1"/>
  </cols>
  <sheetData>
    <row r="1" spans="1:34" ht="34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30" customHeight="1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</row>
    <row r="3" spans="1:34" x14ac:dyDescent="0.35">
      <c r="A3" s="7">
        <v>1</v>
      </c>
      <c r="B3" s="8" t="s">
        <v>35</v>
      </c>
      <c r="C3" s="7">
        <v>8</v>
      </c>
      <c r="D3" s="7">
        <v>3</v>
      </c>
      <c r="E3" s="7">
        <v>3</v>
      </c>
      <c r="F3" s="7">
        <v>8</v>
      </c>
      <c r="G3" s="7">
        <v>5</v>
      </c>
      <c r="H3" s="7">
        <v>4</v>
      </c>
      <c r="I3" s="7">
        <v>4</v>
      </c>
      <c r="J3" s="7">
        <v>4</v>
      </c>
      <c r="K3" s="7">
        <v>8</v>
      </c>
      <c r="L3" s="7">
        <v>3</v>
      </c>
      <c r="M3" s="7">
        <v>8</v>
      </c>
      <c r="N3" s="7">
        <v>8</v>
      </c>
      <c r="O3" s="7">
        <v>7</v>
      </c>
      <c r="P3" s="7">
        <v>3</v>
      </c>
      <c r="Q3" s="7">
        <v>7</v>
      </c>
      <c r="R3" s="7">
        <v>6</v>
      </c>
      <c r="S3" s="7">
        <v>3</v>
      </c>
      <c r="T3" s="7">
        <v>3</v>
      </c>
      <c r="U3" s="7">
        <v>3</v>
      </c>
      <c r="V3" s="7">
        <v>4</v>
      </c>
      <c r="W3" s="7">
        <v>4</v>
      </c>
      <c r="X3" s="7">
        <v>7</v>
      </c>
      <c r="Y3" s="7">
        <v>7</v>
      </c>
      <c r="Z3" s="7">
        <v>3</v>
      </c>
      <c r="AA3" s="7">
        <v>7</v>
      </c>
      <c r="AB3" s="7">
        <v>4</v>
      </c>
      <c r="AC3" s="7">
        <v>8</v>
      </c>
      <c r="AD3" s="7">
        <v>8</v>
      </c>
      <c r="AE3" s="7">
        <v>8</v>
      </c>
      <c r="AF3" s="7">
        <v>7</v>
      </c>
      <c r="AG3" s="9">
        <f t="shared" ref="AG3:AG42" si="0">SUM(C3:AF3)</f>
        <v>165</v>
      </c>
      <c r="AH3" s="8" t="s">
        <v>36</v>
      </c>
    </row>
    <row r="4" spans="1:34" x14ac:dyDescent="0.35">
      <c r="A4" s="7">
        <v>2</v>
      </c>
      <c r="B4" s="8" t="s">
        <v>37</v>
      </c>
      <c r="C4" s="7">
        <v>4</v>
      </c>
      <c r="D4" s="7">
        <v>6</v>
      </c>
      <c r="E4" s="7">
        <v>7</v>
      </c>
      <c r="F4" s="7">
        <v>5</v>
      </c>
      <c r="G4" s="7">
        <v>3</v>
      </c>
      <c r="H4" s="7">
        <v>4</v>
      </c>
      <c r="I4" s="7">
        <v>8</v>
      </c>
      <c r="J4" s="7">
        <v>6</v>
      </c>
      <c r="K4" s="7">
        <v>5</v>
      </c>
      <c r="L4" s="7">
        <v>5</v>
      </c>
      <c r="M4" s="7">
        <v>4</v>
      </c>
      <c r="N4" s="7">
        <v>4</v>
      </c>
      <c r="O4" s="7">
        <v>5</v>
      </c>
      <c r="P4" s="7">
        <v>3</v>
      </c>
      <c r="Q4" s="7">
        <v>3</v>
      </c>
      <c r="R4" s="7">
        <v>6</v>
      </c>
      <c r="S4" s="7">
        <v>3</v>
      </c>
      <c r="T4" s="7">
        <v>5</v>
      </c>
      <c r="U4" s="7">
        <v>5</v>
      </c>
      <c r="V4" s="7">
        <v>7</v>
      </c>
      <c r="W4" s="7">
        <v>5</v>
      </c>
      <c r="X4" s="7">
        <v>3</v>
      </c>
      <c r="Y4" s="7">
        <v>8</v>
      </c>
      <c r="Z4" s="7">
        <v>6</v>
      </c>
      <c r="AA4" s="7">
        <v>7</v>
      </c>
      <c r="AB4" s="7">
        <v>3</v>
      </c>
      <c r="AC4" s="7">
        <v>6</v>
      </c>
      <c r="AD4" s="7">
        <v>3</v>
      </c>
      <c r="AE4" s="7">
        <v>7</v>
      </c>
      <c r="AF4" s="7">
        <v>5</v>
      </c>
      <c r="AG4" s="9">
        <f t="shared" si="0"/>
        <v>151</v>
      </c>
      <c r="AH4" s="8"/>
    </row>
    <row r="5" spans="1:34" x14ac:dyDescent="0.35">
      <c r="A5" s="7">
        <v>3</v>
      </c>
      <c r="B5" s="8" t="s">
        <v>38</v>
      </c>
      <c r="C5" s="7">
        <v>8</v>
      </c>
      <c r="D5" s="7">
        <v>7</v>
      </c>
      <c r="E5" s="7">
        <v>5</v>
      </c>
      <c r="F5" s="7">
        <v>7</v>
      </c>
      <c r="G5" s="7">
        <v>4</v>
      </c>
      <c r="H5" s="7">
        <v>8</v>
      </c>
      <c r="I5" s="7">
        <v>3</v>
      </c>
      <c r="J5" s="7">
        <v>3</v>
      </c>
      <c r="K5" s="7">
        <v>8</v>
      </c>
      <c r="L5" s="7">
        <v>4</v>
      </c>
      <c r="M5" s="7">
        <v>5</v>
      </c>
      <c r="N5" s="7">
        <v>3</v>
      </c>
      <c r="O5" s="7">
        <v>4</v>
      </c>
      <c r="P5" s="7">
        <v>3</v>
      </c>
      <c r="Q5" s="7">
        <v>6</v>
      </c>
      <c r="R5" s="7">
        <v>5</v>
      </c>
      <c r="S5" s="7">
        <v>6</v>
      </c>
      <c r="T5" s="7">
        <v>8</v>
      </c>
      <c r="U5" s="7">
        <v>5</v>
      </c>
      <c r="V5" s="7">
        <v>4</v>
      </c>
      <c r="W5" s="7">
        <v>5</v>
      </c>
      <c r="X5" s="7">
        <v>5</v>
      </c>
      <c r="Y5" s="7">
        <v>4</v>
      </c>
      <c r="Z5" s="7">
        <v>8</v>
      </c>
      <c r="AA5" s="7">
        <v>5</v>
      </c>
      <c r="AB5" s="7">
        <v>8</v>
      </c>
      <c r="AC5" s="7">
        <v>8</v>
      </c>
      <c r="AD5" s="7">
        <v>8</v>
      </c>
      <c r="AE5" s="7">
        <v>3</v>
      </c>
      <c r="AF5" s="7">
        <v>7</v>
      </c>
      <c r="AG5" s="9">
        <f t="shared" si="0"/>
        <v>167</v>
      </c>
      <c r="AH5" s="8" t="s">
        <v>39</v>
      </c>
    </row>
    <row r="6" spans="1:34" x14ac:dyDescent="0.35">
      <c r="A6" s="7">
        <v>4</v>
      </c>
      <c r="B6" s="8" t="s">
        <v>40</v>
      </c>
      <c r="C6" s="7">
        <v>4</v>
      </c>
      <c r="D6" s="7">
        <v>7</v>
      </c>
      <c r="E6" s="7">
        <v>8</v>
      </c>
      <c r="F6" s="7">
        <v>4</v>
      </c>
      <c r="G6" s="7">
        <v>4</v>
      </c>
      <c r="H6" s="7">
        <v>6</v>
      </c>
      <c r="I6" s="7">
        <v>6</v>
      </c>
      <c r="J6" s="7">
        <v>5</v>
      </c>
      <c r="K6" s="7">
        <v>8</v>
      </c>
      <c r="L6" s="7">
        <v>8</v>
      </c>
      <c r="M6" s="7">
        <v>7</v>
      </c>
      <c r="N6" s="7">
        <v>4</v>
      </c>
      <c r="O6" s="7">
        <v>8</v>
      </c>
      <c r="P6" s="7">
        <v>5</v>
      </c>
      <c r="Q6" s="7">
        <v>3</v>
      </c>
      <c r="R6" s="7">
        <v>4</v>
      </c>
      <c r="S6" s="7">
        <v>3</v>
      </c>
      <c r="T6" s="7">
        <v>5</v>
      </c>
      <c r="U6" s="7">
        <v>6</v>
      </c>
      <c r="V6" s="7">
        <v>5</v>
      </c>
      <c r="W6" s="7">
        <v>3</v>
      </c>
      <c r="X6" s="7">
        <v>4</v>
      </c>
      <c r="Y6" s="7">
        <v>7</v>
      </c>
      <c r="Z6" s="7">
        <v>8</v>
      </c>
      <c r="AA6" s="7">
        <v>5</v>
      </c>
      <c r="AB6" s="7">
        <v>4</v>
      </c>
      <c r="AC6" s="7">
        <v>8</v>
      </c>
      <c r="AD6" s="7">
        <v>6</v>
      </c>
      <c r="AE6" s="7">
        <v>6</v>
      </c>
      <c r="AF6" s="7">
        <v>8</v>
      </c>
      <c r="AG6" s="9">
        <f t="shared" si="0"/>
        <v>169</v>
      </c>
      <c r="AH6" s="8" t="s">
        <v>36</v>
      </c>
    </row>
    <row r="7" spans="1:34" x14ac:dyDescent="0.35">
      <c r="A7" s="7">
        <v>5</v>
      </c>
      <c r="B7" s="8" t="s">
        <v>41</v>
      </c>
      <c r="C7" s="7">
        <v>4</v>
      </c>
      <c r="D7" s="7">
        <v>5</v>
      </c>
      <c r="E7" s="7">
        <v>4</v>
      </c>
      <c r="F7" s="7">
        <v>4</v>
      </c>
      <c r="G7" s="7">
        <v>8</v>
      </c>
      <c r="H7" s="7">
        <v>7</v>
      </c>
      <c r="I7" s="7">
        <v>7</v>
      </c>
      <c r="J7" s="7">
        <v>5</v>
      </c>
      <c r="K7" s="7">
        <v>8</v>
      </c>
      <c r="L7" s="7">
        <v>7</v>
      </c>
      <c r="M7" s="7">
        <v>6</v>
      </c>
      <c r="N7" s="7">
        <v>7</v>
      </c>
      <c r="O7" s="7">
        <v>6</v>
      </c>
      <c r="P7" s="7">
        <v>5</v>
      </c>
      <c r="Q7" s="7">
        <v>4</v>
      </c>
      <c r="R7" s="7">
        <v>4</v>
      </c>
      <c r="S7" s="7">
        <v>7</v>
      </c>
      <c r="T7" s="7">
        <v>6</v>
      </c>
      <c r="U7" s="7">
        <v>3</v>
      </c>
      <c r="V7" s="7">
        <v>3</v>
      </c>
      <c r="W7" s="7">
        <v>3</v>
      </c>
      <c r="X7" s="7">
        <v>4</v>
      </c>
      <c r="Y7" s="7">
        <v>8</v>
      </c>
      <c r="Z7" s="7">
        <v>4</v>
      </c>
      <c r="AA7" s="7">
        <v>8</v>
      </c>
      <c r="AB7" s="7">
        <v>6</v>
      </c>
      <c r="AC7" s="7">
        <v>7</v>
      </c>
      <c r="AD7" s="7">
        <v>3</v>
      </c>
      <c r="AE7" s="7">
        <v>6</v>
      </c>
      <c r="AF7" s="7">
        <v>6</v>
      </c>
      <c r="AG7" s="9">
        <f t="shared" si="0"/>
        <v>165</v>
      </c>
      <c r="AH7" s="8" t="s">
        <v>42</v>
      </c>
    </row>
    <row r="8" spans="1:34" x14ac:dyDescent="0.35">
      <c r="A8" s="7">
        <v>6</v>
      </c>
      <c r="B8" s="8" t="s">
        <v>43</v>
      </c>
      <c r="C8" s="7">
        <v>5</v>
      </c>
      <c r="D8" s="7">
        <v>6</v>
      </c>
      <c r="E8" s="7">
        <v>4</v>
      </c>
      <c r="F8" s="7">
        <v>6</v>
      </c>
      <c r="G8" s="7">
        <v>2</v>
      </c>
      <c r="H8" s="7">
        <v>2</v>
      </c>
      <c r="I8" s="7">
        <v>6</v>
      </c>
      <c r="J8" s="7">
        <v>4</v>
      </c>
      <c r="K8" s="7">
        <v>4</v>
      </c>
      <c r="L8" s="7">
        <v>2</v>
      </c>
      <c r="M8" s="7">
        <v>4</v>
      </c>
      <c r="N8" s="7">
        <v>5</v>
      </c>
      <c r="O8" s="7">
        <v>3</v>
      </c>
      <c r="P8" s="7">
        <v>5</v>
      </c>
      <c r="Q8" s="7">
        <v>2</v>
      </c>
      <c r="R8" s="7">
        <v>4</v>
      </c>
      <c r="S8" s="7">
        <v>6</v>
      </c>
      <c r="T8" s="7">
        <v>3</v>
      </c>
      <c r="U8" s="7">
        <v>6</v>
      </c>
      <c r="V8" s="7">
        <v>2</v>
      </c>
      <c r="W8" s="7">
        <v>4</v>
      </c>
      <c r="X8" s="7">
        <v>6</v>
      </c>
      <c r="Y8" s="7">
        <v>6</v>
      </c>
      <c r="Z8" s="7">
        <v>3</v>
      </c>
      <c r="AA8" s="7">
        <v>3</v>
      </c>
      <c r="AB8" s="7">
        <v>4</v>
      </c>
      <c r="AC8" s="7">
        <v>3</v>
      </c>
      <c r="AD8" s="7">
        <v>6</v>
      </c>
      <c r="AE8" s="7">
        <v>6</v>
      </c>
      <c r="AF8" s="7">
        <v>2</v>
      </c>
      <c r="AG8" s="9">
        <f t="shared" si="0"/>
        <v>124</v>
      </c>
      <c r="AH8" s="8" t="s">
        <v>42</v>
      </c>
    </row>
    <row r="9" spans="1:34" x14ac:dyDescent="0.35">
      <c r="A9" s="7">
        <v>7</v>
      </c>
      <c r="B9" s="8" t="s">
        <v>44</v>
      </c>
      <c r="C9" s="7">
        <v>4</v>
      </c>
      <c r="D9" s="7">
        <v>5</v>
      </c>
      <c r="E9" s="7">
        <v>2</v>
      </c>
      <c r="F9" s="7">
        <v>2</v>
      </c>
      <c r="G9" s="7">
        <v>4</v>
      </c>
      <c r="H9" s="7">
        <v>4</v>
      </c>
      <c r="I9" s="7">
        <v>3</v>
      </c>
      <c r="J9" s="7">
        <v>2</v>
      </c>
      <c r="K9" s="7">
        <v>3</v>
      </c>
      <c r="L9" s="7">
        <v>6</v>
      </c>
      <c r="M9" s="7">
        <v>2</v>
      </c>
      <c r="N9" s="7">
        <v>2</v>
      </c>
      <c r="O9" s="7">
        <v>5</v>
      </c>
      <c r="P9" s="7">
        <v>2</v>
      </c>
      <c r="Q9" s="7">
        <v>6</v>
      </c>
      <c r="R9" s="7">
        <v>3</v>
      </c>
      <c r="S9" s="7">
        <v>3</v>
      </c>
      <c r="T9" s="7">
        <v>5</v>
      </c>
      <c r="U9" s="7">
        <v>6</v>
      </c>
      <c r="V9" s="7">
        <v>3</v>
      </c>
      <c r="W9" s="7">
        <v>4</v>
      </c>
      <c r="X9" s="7">
        <v>6</v>
      </c>
      <c r="Y9" s="7">
        <v>6</v>
      </c>
      <c r="Z9" s="7">
        <v>5</v>
      </c>
      <c r="AA9" s="7">
        <v>3</v>
      </c>
      <c r="AB9" s="7">
        <v>6</v>
      </c>
      <c r="AC9" s="7">
        <v>3</v>
      </c>
      <c r="AD9" s="7">
        <v>4</v>
      </c>
      <c r="AE9" s="7">
        <v>5</v>
      </c>
      <c r="AF9" s="7">
        <v>4</v>
      </c>
      <c r="AG9" s="9">
        <f t="shared" si="0"/>
        <v>118</v>
      </c>
      <c r="AH9" s="8" t="s">
        <v>36</v>
      </c>
    </row>
    <row r="10" spans="1:34" x14ac:dyDescent="0.35">
      <c r="A10" s="7">
        <v>8</v>
      </c>
      <c r="B10" s="8" t="s">
        <v>45</v>
      </c>
      <c r="C10" s="7">
        <v>6</v>
      </c>
      <c r="D10" s="7">
        <v>5</v>
      </c>
      <c r="E10" s="7">
        <v>2</v>
      </c>
      <c r="F10" s="7">
        <v>3</v>
      </c>
      <c r="G10" s="7">
        <v>3</v>
      </c>
      <c r="H10" s="7">
        <v>2</v>
      </c>
      <c r="I10" s="7">
        <v>4</v>
      </c>
      <c r="J10" s="7">
        <v>2</v>
      </c>
      <c r="K10" s="7">
        <v>6</v>
      </c>
      <c r="L10" s="7">
        <v>6</v>
      </c>
      <c r="M10" s="7">
        <v>3</v>
      </c>
      <c r="N10" s="7">
        <v>6</v>
      </c>
      <c r="O10" s="7">
        <v>3</v>
      </c>
      <c r="P10" s="7">
        <v>2</v>
      </c>
      <c r="Q10" s="7">
        <v>2</v>
      </c>
      <c r="R10" s="7">
        <v>2</v>
      </c>
      <c r="S10" s="7">
        <v>3</v>
      </c>
      <c r="T10" s="7">
        <v>2</v>
      </c>
      <c r="U10" s="7">
        <v>2</v>
      </c>
      <c r="V10" s="7">
        <v>4</v>
      </c>
      <c r="W10" s="7">
        <v>2</v>
      </c>
      <c r="X10" s="7">
        <v>6</v>
      </c>
      <c r="Y10" s="7">
        <v>3</v>
      </c>
      <c r="Z10" s="7">
        <v>4</v>
      </c>
      <c r="AA10" s="7">
        <v>5</v>
      </c>
      <c r="AB10" s="7">
        <v>3</v>
      </c>
      <c r="AC10" s="7">
        <v>6</v>
      </c>
      <c r="AD10" s="7">
        <v>3</v>
      </c>
      <c r="AE10" s="7">
        <v>6</v>
      </c>
      <c r="AF10" s="7">
        <v>6</v>
      </c>
      <c r="AG10" s="9">
        <f t="shared" si="0"/>
        <v>112</v>
      </c>
      <c r="AH10" s="8" t="s">
        <v>36</v>
      </c>
    </row>
    <row r="11" spans="1:34" x14ac:dyDescent="0.35">
      <c r="A11" s="7">
        <v>9</v>
      </c>
      <c r="B11" s="8" t="s">
        <v>46</v>
      </c>
      <c r="C11" s="7">
        <v>3</v>
      </c>
      <c r="D11" s="7">
        <v>5</v>
      </c>
      <c r="E11" s="7">
        <v>5</v>
      </c>
      <c r="F11" s="7">
        <v>3</v>
      </c>
      <c r="G11" s="7">
        <v>2</v>
      </c>
      <c r="H11" s="7">
        <v>2</v>
      </c>
      <c r="I11" s="7">
        <v>5</v>
      </c>
      <c r="J11" s="7">
        <v>4</v>
      </c>
      <c r="K11" s="7">
        <v>5</v>
      </c>
      <c r="L11" s="7">
        <v>5</v>
      </c>
      <c r="M11" s="7">
        <v>5</v>
      </c>
      <c r="N11" s="7">
        <v>2</v>
      </c>
      <c r="O11" s="7">
        <v>2</v>
      </c>
      <c r="P11" s="7">
        <v>2</v>
      </c>
      <c r="Q11" s="7">
        <v>5</v>
      </c>
      <c r="R11" s="7">
        <v>4</v>
      </c>
      <c r="S11" s="7">
        <v>2</v>
      </c>
      <c r="T11" s="7">
        <v>3</v>
      </c>
      <c r="U11" s="7">
        <v>3</v>
      </c>
      <c r="V11" s="7">
        <v>3</v>
      </c>
      <c r="W11" s="7">
        <v>6</v>
      </c>
      <c r="X11" s="7">
        <v>5</v>
      </c>
      <c r="Y11" s="7">
        <v>3</v>
      </c>
      <c r="Z11" s="7">
        <v>5</v>
      </c>
      <c r="AA11" s="7">
        <v>3</v>
      </c>
      <c r="AB11" s="7">
        <v>4</v>
      </c>
      <c r="AC11" s="7">
        <v>5</v>
      </c>
      <c r="AD11" s="7">
        <v>3</v>
      </c>
      <c r="AE11" s="7">
        <v>2</v>
      </c>
      <c r="AF11" s="7">
        <v>5</v>
      </c>
      <c r="AG11" s="9">
        <f t="shared" si="0"/>
        <v>111</v>
      </c>
      <c r="AH11" s="8"/>
    </row>
    <row r="12" spans="1:34" x14ac:dyDescent="0.35">
      <c r="A12" s="7">
        <v>10</v>
      </c>
      <c r="B12" s="8" t="s">
        <v>47</v>
      </c>
      <c r="C12" s="7">
        <v>6</v>
      </c>
      <c r="D12" s="7">
        <v>2</v>
      </c>
      <c r="E12" s="7">
        <v>2</v>
      </c>
      <c r="F12" s="7">
        <v>6</v>
      </c>
      <c r="G12" s="7">
        <v>2</v>
      </c>
      <c r="H12" s="7">
        <v>2</v>
      </c>
      <c r="I12" s="7">
        <v>3</v>
      </c>
      <c r="J12" s="7">
        <v>3</v>
      </c>
      <c r="K12" s="7">
        <v>5</v>
      </c>
      <c r="L12" s="7">
        <v>5</v>
      </c>
      <c r="M12" s="7">
        <v>5</v>
      </c>
      <c r="N12" s="7">
        <v>3</v>
      </c>
      <c r="O12" s="7">
        <v>5</v>
      </c>
      <c r="P12" s="7">
        <v>2</v>
      </c>
      <c r="Q12" s="7">
        <v>3</v>
      </c>
      <c r="R12" s="7">
        <v>5</v>
      </c>
      <c r="S12" s="7">
        <v>2</v>
      </c>
      <c r="T12" s="7">
        <v>5</v>
      </c>
      <c r="U12" s="7">
        <v>4</v>
      </c>
      <c r="V12" s="7">
        <v>5</v>
      </c>
      <c r="W12" s="7">
        <v>4</v>
      </c>
      <c r="X12" s="7">
        <v>5</v>
      </c>
      <c r="Y12" s="7">
        <v>6</v>
      </c>
      <c r="Z12" s="7">
        <v>5</v>
      </c>
      <c r="AA12" s="7">
        <v>3</v>
      </c>
      <c r="AB12" s="7">
        <v>3</v>
      </c>
      <c r="AC12" s="7">
        <v>4</v>
      </c>
      <c r="AD12" s="7">
        <v>3</v>
      </c>
      <c r="AE12" s="7">
        <v>2</v>
      </c>
      <c r="AF12" s="7">
        <v>6</v>
      </c>
      <c r="AG12" s="9">
        <f t="shared" si="0"/>
        <v>116</v>
      </c>
      <c r="AH12" s="8" t="s">
        <v>39</v>
      </c>
    </row>
    <row r="13" spans="1:34" x14ac:dyDescent="0.35">
      <c r="A13" s="7">
        <v>11</v>
      </c>
      <c r="B13" s="8" t="s">
        <v>48</v>
      </c>
      <c r="C13" s="7">
        <v>6</v>
      </c>
      <c r="D13" s="7">
        <v>2</v>
      </c>
      <c r="E13" s="7">
        <v>4</v>
      </c>
      <c r="F13" s="7">
        <v>2</v>
      </c>
      <c r="G13" s="7">
        <v>2</v>
      </c>
      <c r="H13" s="7">
        <v>6</v>
      </c>
      <c r="I13" s="7">
        <v>5</v>
      </c>
      <c r="J13" s="7">
        <v>6</v>
      </c>
      <c r="K13" s="7">
        <v>6</v>
      </c>
      <c r="L13" s="7">
        <v>3</v>
      </c>
      <c r="M13" s="7">
        <v>2</v>
      </c>
      <c r="N13" s="7">
        <v>6</v>
      </c>
      <c r="O13" s="7">
        <v>2</v>
      </c>
      <c r="P13" s="7">
        <v>3</v>
      </c>
      <c r="Q13" s="7">
        <v>2</v>
      </c>
      <c r="R13" s="7">
        <v>6</v>
      </c>
      <c r="S13" s="7">
        <v>2</v>
      </c>
      <c r="T13" s="7">
        <v>3</v>
      </c>
      <c r="U13" s="7">
        <v>5</v>
      </c>
      <c r="V13" s="7">
        <v>2</v>
      </c>
      <c r="W13" s="7">
        <v>6</v>
      </c>
      <c r="X13" s="7">
        <v>3</v>
      </c>
      <c r="Y13" s="7">
        <v>6</v>
      </c>
      <c r="Z13" s="7">
        <v>6</v>
      </c>
      <c r="AA13" s="7">
        <v>2</v>
      </c>
      <c r="AB13" s="7">
        <v>6</v>
      </c>
      <c r="AC13" s="7">
        <v>2</v>
      </c>
      <c r="AD13" s="7">
        <v>5</v>
      </c>
      <c r="AE13" s="7">
        <v>6</v>
      </c>
      <c r="AF13" s="7">
        <v>6</v>
      </c>
      <c r="AG13" s="9">
        <f t="shared" si="0"/>
        <v>123</v>
      </c>
      <c r="AH13" s="8" t="s">
        <v>42</v>
      </c>
    </row>
    <row r="14" spans="1:34" x14ac:dyDescent="0.35">
      <c r="A14" s="7">
        <v>12</v>
      </c>
      <c r="B14" s="8" t="s">
        <v>49</v>
      </c>
      <c r="C14" s="7">
        <v>4</v>
      </c>
      <c r="D14" s="7">
        <v>4</v>
      </c>
      <c r="E14" s="7">
        <v>3</v>
      </c>
      <c r="F14" s="7">
        <v>4</v>
      </c>
      <c r="G14" s="7">
        <v>3</v>
      </c>
      <c r="H14" s="7">
        <v>4</v>
      </c>
      <c r="I14" s="7">
        <v>5</v>
      </c>
      <c r="J14" s="7">
        <v>3</v>
      </c>
      <c r="K14" s="7">
        <v>4</v>
      </c>
      <c r="L14" s="7">
        <v>5</v>
      </c>
      <c r="M14" s="7">
        <v>4</v>
      </c>
      <c r="N14" s="7">
        <v>2</v>
      </c>
      <c r="O14" s="7">
        <v>2</v>
      </c>
      <c r="P14" s="7">
        <v>5</v>
      </c>
      <c r="Q14" s="7">
        <v>6</v>
      </c>
      <c r="R14" s="7">
        <v>6</v>
      </c>
      <c r="S14" s="7">
        <v>2</v>
      </c>
      <c r="T14" s="7">
        <v>2</v>
      </c>
      <c r="U14" s="7">
        <v>6</v>
      </c>
      <c r="V14" s="7">
        <v>3</v>
      </c>
      <c r="W14" s="7">
        <v>6</v>
      </c>
      <c r="X14" s="7">
        <v>4</v>
      </c>
      <c r="Y14" s="7">
        <v>3</v>
      </c>
      <c r="Z14" s="7">
        <v>4</v>
      </c>
      <c r="AA14" s="7">
        <v>2</v>
      </c>
      <c r="AB14" s="7">
        <v>3</v>
      </c>
      <c r="AC14" s="7">
        <v>4</v>
      </c>
      <c r="AD14" s="7">
        <v>4</v>
      </c>
      <c r="AE14" s="7">
        <v>3</v>
      </c>
      <c r="AF14" s="7">
        <v>5</v>
      </c>
      <c r="AG14" s="9">
        <f t="shared" si="0"/>
        <v>115</v>
      </c>
      <c r="AH14" s="8"/>
    </row>
    <row r="15" spans="1:34" x14ac:dyDescent="0.35">
      <c r="A15" s="7">
        <v>13</v>
      </c>
      <c r="B15" s="8" t="s">
        <v>50</v>
      </c>
      <c r="C15" s="7">
        <v>6</v>
      </c>
      <c r="D15" s="7">
        <v>4</v>
      </c>
      <c r="E15" s="7">
        <v>6</v>
      </c>
      <c r="F15" s="7">
        <v>6</v>
      </c>
      <c r="G15" s="7">
        <v>2</v>
      </c>
      <c r="H15" s="7">
        <v>6</v>
      </c>
      <c r="I15" s="7">
        <v>4</v>
      </c>
      <c r="J15" s="7">
        <v>2</v>
      </c>
      <c r="K15" s="7">
        <v>3</v>
      </c>
      <c r="L15" s="7">
        <v>4</v>
      </c>
      <c r="M15" s="7">
        <v>2</v>
      </c>
      <c r="N15" s="7">
        <v>2</v>
      </c>
      <c r="O15" s="7">
        <v>6</v>
      </c>
      <c r="P15" s="7">
        <v>3</v>
      </c>
      <c r="Q15" s="7">
        <v>4</v>
      </c>
      <c r="R15" s="7">
        <v>4</v>
      </c>
      <c r="S15" s="7">
        <v>6</v>
      </c>
      <c r="T15" s="7">
        <v>3</v>
      </c>
      <c r="U15" s="7">
        <v>4</v>
      </c>
      <c r="V15" s="7">
        <v>3</v>
      </c>
      <c r="W15" s="7">
        <v>4</v>
      </c>
      <c r="X15" s="7">
        <v>6</v>
      </c>
      <c r="Y15" s="7">
        <v>5</v>
      </c>
      <c r="Z15" s="7">
        <v>4</v>
      </c>
      <c r="AA15" s="7">
        <v>2</v>
      </c>
      <c r="AB15" s="7">
        <v>2</v>
      </c>
      <c r="AC15" s="7">
        <v>5</v>
      </c>
      <c r="AD15" s="7">
        <v>4</v>
      </c>
      <c r="AE15" s="7">
        <v>2</v>
      </c>
      <c r="AF15" s="7">
        <v>2</v>
      </c>
      <c r="AG15" s="9">
        <f t="shared" si="0"/>
        <v>116</v>
      </c>
      <c r="AH15" s="8" t="s">
        <v>51</v>
      </c>
    </row>
    <row r="16" spans="1:34" x14ac:dyDescent="0.35">
      <c r="A16" s="7">
        <v>14</v>
      </c>
      <c r="B16" s="8" t="s">
        <v>52</v>
      </c>
      <c r="C16" s="7">
        <v>3</v>
      </c>
      <c r="D16" s="7">
        <v>4</v>
      </c>
      <c r="E16" s="7">
        <v>3</v>
      </c>
      <c r="F16" s="7">
        <v>5</v>
      </c>
      <c r="G16" s="7">
        <v>6</v>
      </c>
      <c r="H16" s="7">
        <v>5</v>
      </c>
      <c r="I16" s="7">
        <v>6</v>
      </c>
      <c r="J16" s="7">
        <v>2</v>
      </c>
      <c r="K16" s="7">
        <v>2</v>
      </c>
      <c r="L16" s="7">
        <v>2</v>
      </c>
      <c r="M16" s="7">
        <v>3</v>
      </c>
      <c r="N16" s="7">
        <v>6</v>
      </c>
      <c r="O16" s="7">
        <v>2</v>
      </c>
      <c r="P16" s="7">
        <v>4</v>
      </c>
      <c r="Q16" s="7">
        <v>6</v>
      </c>
      <c r="R16" s="7">
        <v>6</v>
      </c>
      <c r="S16" s="7">
        <v>3</v>
      </c>
      <c r="T16" s="7">
        <v>5</v>
      </c>
      <c r="U16" s="7">
        <v>3</v>
      </c>
      <c r="V16" s="7">
        <v>2</v>
      </c>
      <c r="W16" s="7">
        <v>4</v>
      </c>
      <c r="X16" s="7">
        <v>4</v>
      </c>
      <c r="Y16" s="7">
        <v>2</v>
      </c>
      <c r="Z16" s="7">
        <v>4</v>
      </c>
      <c r="AA16" s="7">
        <v>3</v>
      </c>
      <c r="AB16" s="7">
        <v>3</v>
      </c>
      <c r="AC16" s="7">
        <v>2</v>
      </c>
      <c r="AD16" s="7">
        <v>4</v>
      </c>
      <c r="AE16" s="7">
        <v>6</v>
      </c>
      <c r="AF16" s="7">
        <v>5</v>
      </c>
      <c r="AG16" s="9">
        <f t="shared" si="0"/>
        <v>115</v>
      </c>
      <c r="AH16" s="8" t="s">
        <v>42</v>
      </c>
    </row>
    <row r="17" spans="1:34" x14ac:dyDescent="0.35">
      <c r="A17" s="7">
        <v>15</v>
      </c>
      <c r="B17" s="8" t="s">
        <v>53</v>
      </c>
      <c r="C17" s="7">
        <v>3</v>
      </c>
      <c r="D17" s="7">
        <v>3</v>
      </c>
      <c r="E17" s="7">
        <v>3</v>
      </c>
      <c r="F17" s="7">
        <v>3</v>
      </c>
      <c r="G17" s="7">
        <v>5</v>
      </c>
      <c r="H17" s="7">
        <v>2</v>
      </c>
      <c r="I17" s="7">
        <v>3</v>
      </c>
      <c r="J17" s="7">
        <v>4</v>
      </c>
      <c r="K17" s="7">
        <v>5</v>
      </c>
      <c r="L17" s="7">
        <v>3</v>
      </c>
      <c r="M17" s="7">
        <v>4</v>
      </c>
      <c r="N17" s="7">
        <v>3</v>
      </c>
      <c r="O17" s="7">
        <v>2</v>
      </c>
      <c r="P17" s="7">
        <v>5</v>
      </c>
      <c r="Q17" s="7">
        <v>2</v>
      </c>
      <c r="R17" s="7">
        <v>5</v>
      </c>
      <c r="S17" s="7">
        <v>3</v>
      </c>
      <c r="T17" s="7">
        <v>3</v>
      </c>
      <c r="U17" s="7">
        <v>5</v>
      </c>
      <c r="V17" s="7">
        <v>4</v>
      </c>
      <c r="W17" s="7">
        <v>4</v>
      </c>
      <c r="X17" s="7">
        <v>3</v>
      </c>
      <c r="Y17" s="7">
        <v>3</v>
      </c>
      <c r="Z17" s="7">
        <v>2</v>
      </c>
      <c r="AA17" s="7">
        <v>3</v>
      </c>
      <c r="AB17" s="7">
        <v>5</v>
      </c>
      <c r="AC17" s="7">
        <v>4</v>
      </c>
      <c r="AD17" s="7">
        <v>4</v>
      </c>
      <c r="AE17" s="7">
        <v>2</v>
      </c>
      <c r="AF17" s="7">
        <v>4</v>
      </c>
      <c r="AG17" s="9">
        <f t="shared" si="0"/>
        <v>104</v>
      </c>
      <c r="AH17" s="8" t="s">
        <v>51</v>
      </c>
    </row>
    <row r="18" spans="1:34" x14ac:dyDescent="0.35">
      <c r="A18" s="7">
        <v>16</v>
      </c>
      <c r="B18" s="8" t="s">
        <v>54</v>
      </c>
      <c r="C18" s="7">
        <v>6</v>
      </c>
      <c r="D18" s="7">
        <v>5</v>
      </c>
      <c r="E18" s="7">
        <v>6</v>
      </c>
      <c r="F18" s="7">
        <v>4</v>
      </c>
      <c r="G18" s="7">
        <v>2</v>
      </c>
      <c r="H18" s="7">
        <v>2</v>
      </c>
      <c r="I18" s="7">
        <v>4</v>
      </c>
      <c r="J18" s="7">
        <v>3</v>
      </c>
      <c r="K18" s="7">
        <v>6</v>
      </c>
      <c r="L18" s="7">
        <v>4</v>
      </c>
      <c r="M18" s="7">
        <v>2</v>
      </c>
      <c r="N18" s="7">
        <v>2</v>
      </c>
      <c r="O18" s="7">
        <v>6</v>
      </c>
      <c r="P18" s="7">
        <v>5</v>
      </c>
      <c r="Q18" s="7">
        <v>4</v>
      </c>
      <c r="R18" s="7">
        <v>4</v>
      </c>
      <c r="S18" s="7">
        <v>5</v>
      </c>
      <c r="T18" s="7">
        <v>6</v>
      </c>
      <c r="U18" s="7">
        <v>6</v>
      </c>
      <c r="V18" s="7">
        <v>2</v>
      </c>
      <c r="W18" s="7">
        <v>5</v>
      </c>
      <c r="X18" s="7">
        <v>6</v>
      </c>
      <c r="Y18" s="7">
        <v>3</v>
      </c>
      <c r="Z18" s="7">
        <v>4</v>
      </c>
      <c r="AA18" s="7">
        <v>2</v>
      </c>
      <c r="AB18" s="7">
        <v>5</v>
      </c>
      <c r="AC18" s="7">
        <v>2</v>
      </c>
      <c r="AD18" s="7">
        <v>6</v>
      </c>
      <c r="AE18" s="7">
        <v>6</v>
      </c>
      <c r="AF18" s="7">
        <v>3</v>
      </c>
      <c r="AG18" s="9">
        <f t="shared" si="0"/>
        <v>126</v>
      </c>
      <c r="AH18" s="8" t="s">
        <v>51</v>
      </c>
    </row>
    <row r="19" spans="1:34" x14ac:dyDescent="0.35">
      <c r="A19" s="7">
        <v>17</v>
      </c>
      <c r="B19" s="8" t="s">
        <v>55</v>
      </c>
      <c r="C19" s="7">
        <v>5</v>
      </c>
      <c r="D19" s="7">
        <v>2</v>
      </c>
      <c r="E19" s="7">
        <v>4</v>
      </c>
      <c r="F19" s="7">
        <v>6</v>
      </c>
      <c r="G19" s="7">
        <v>4</v>
      </c>
      <c r="H19" s="7">
        <v>2</v>
      </c>
      <c r="I19" s="7">
        <v>4</v>
      </c>
      <c r="J19" s="7">
        <v>6</v>
      </c>
      <c r="K19" s="7">
        <v>4</v>
      </c>
      <c r="L19" s="7">
        <v>5</v>
      </c>
      <c r="M19" s="7">
        <v>4</v>
      </c>
      <c r="N19" s="7">
        <v>5</v>
      </c>
      <c r="O19" s="7">
        <v>4</v>
      </c>
      <c r="P19" s="7">
        <v>4</v>
      </c>
      <c r="Q19" s="7">
        <v>4</v>
      </c>
      <c r="R19" s="7">
        <v>4</v>
      </c>
      <c r="S19" s="7">
        <v>4</v>
      </c>
      <c r="T19" s="7">
        <v>4</v>
      </c>
      <c r="U19" s="7">
        <v>4</v>
      </c>
      <c r="V19" s="7">
        <v>4</v>
      </c>
      <c r="W19" s="7">
        <v>4</v>
      </c>
      <c r="X19" s="7">
        <v>4</v>
      </c>
      <c r="Y19" s="7">
        <v>4</v>
      </c>
      <c r="Z19" s="7">
        <v>4</v>
      </c>
      <c r="AA19" s="7">
        <v>4</v>
      </c>
      <c r="AB19" s="7">
        <v>4</v>
      </c>
      <c r="AC19" s="7">
        <v>4</v>
      </c>
      <c r="AD19" s="7">
        <v>4</v>
      </c>
      <c r="AE19" s="7">
        <v>4</v>
      </c>
      <c r="AF19" s="7">
        <v>4</v>
      </c>
      <c r="AG19" s="9">
        <f t="shared" si="0"/>
        <v>123</v>
      </c>
      <c r="AH19" s="8" t="s">
        <v>42</v>
      </c>
    </row>
    <row r="20" spans="1:34" x14ac:dyDescent="0.35">
      <c r="A20" s="7">
        <v>18</v>
      </c>
      <c r="B20" s="8" t="s">
        <v>56</v>
      </c>
      <c r="C20" s="7">
        <v>4</v>
      </c>
      <c r="D20" s="7">
        <v>5</v>
      </c>
      <c r="E20" s="7">
        <v>5</v>
      </c>
      <c r="F20" s="7">
        <v>5</v>
      </c>
      <c r="G20" s="7">
        <v>3</v>
      </c>
      <c r="H20" s="7">
        <v>6</v>
      </c>
      <c r="I20" s="7">
        <v>5</v>
      </c>
      <c r="J20" s="7">
        <v>3</v>
      </c>
      <c r="K20" s="7">
        <v>2</v>
      </c>
      <c r="L20" s="7">
        <v>4</v>
      </c>
      <c r="M20" s="7">
        <v>6</v>
      </c>
      <c r="N20" s="7">
        <v>6</v>
      </c>
      <c r="O20" s="7">
        <v>4</v>
      </c>
      <c r="P20" s="7">
        <v>2</v>
      </c>
      <c r="Q20" s="7">
        <v>3</v>
      </c>
      <c r="R20" s="7">
        <v>4</v>
      </c>
      <c r="S20" s="7">
        <v>3</v>
      </c>
      <c r="T20" s="7">
        <v>3</v>
      </c>
      <c r="U20" s="7">
        <v>3</v>
      </c>
      <c r="V20" s="7">
        <v>2</v>
      </c>
      <c r="W20" s="7">
        <v>2</v>
      </c>
      <c r="X20" s="7">
        <v>3</v>
      </c>
      <c r="Y20" s="7">
        <v>5</v>
      </c>
      <c r="Z20" s="7">
        <v>6</v>
      </c>
      <c r="AA20" s="7">
        <v>2</v>
      </c>
      <c r="AB20" s="7">
        <v>5</v>
      </c>
      <c r="AC20" s="7">
        <v>5</v>
      </c>
      <c r="AD20" s="7">
        <v>6</v>
      </c>
      <c r="AE20" s="7">
        <v>3</v>
      </c>
      <c r="AF20" s="7">
        <v>5</v>
      </c>
      <c r="AG20" s="9">
        <f t="shared" si="0"/>
        <v>120</v>
      </c>
      <c r="AH20" s="8" t="s">
        <v>36</v>
      </c>
    </row>
    <row r="21" spans="1:34" x14ac:dyDescent="0.35">
      <c r="A21" s="7">
        <v>19</v>
      </c>
      <c r="B21" s="8" t="s">
        <v>57</v>
      </c>
      <c r="C21" s="7">
        <v>5</v>
      </c>
      <c r="D21" s="7">
        <v>3</v>
      </c>
      <c r="E21" s="7">
        <v>3</v>
      </c>
      <c r="F21" s="7">
        <v>2</v>
      </c>
      <c r="G21" s="7">
        <v>2</v>
      </c>
      <c r="H21" s="7">
        <v>5</v>
      </c>
      <c r="I21" s="7">
        <v>3</v>
      </c>
      <c r="J21" s="7">
        <v>3</v>
      </c>
      <c r="K21" s="7">
        <v>6</v>
      </c>
      <c r="L21" s="7">
        <v>5</v>
      </c>
      <c r="M21" s="7">
        <v>2</v>
      </c>
      <c r="N21" s="7">
        <v>6</v>
      </c>
      <c r="O21" s="7">
        <v>3</v>
      </c>
      <c r="P21" s="7">
        <v>2</v>
      </c>
      <c r="Q21" s="7">
        <v>5</v>
      </c>
      <c r="R21" s="7">
        <v>3</v>
      </c>
      <c r="S21" s="7">
        <v>5</v>
      </c>
      <c r="T21" s="7">
        <v>6</v>
      </c>
      <c r="U21" s="7">
        <v>6</v>
      </c>
      <c r="V21" s="7">
        <v>6</v>
      </c>
      <c r="W21" s="7">
        <v>4</v>
      </c>
      <c r="X21" s="7">
        <v>5</v>
      </c>
      <c r="Y21" s="7">
        <v>6</v>
      </c>
      <c r="Z21" s="7">
        <v>6</v>
      </c>
      <c r="AA21" s="7">
        <v>5</v>
      </c>
      <c r="AB21" s="7">
        <v>6</v>
      </c>
      <c r="AC21" s="7">
        <v>5</v>
      </c>
      <c r="AD21" s="7">
        <v>3</v>
      </c>
      <c r="AE21" s="7">
        <v>5</v>
      </c>
      <c r="AF21" s="7">
        <v>5</v>
      </c>
      <c r="AG21" s="9">
        <f t="shared" si="0"/>
        <v>131</v>
      </c>
      <c r="AH21" s="8" t="s">
        <v>51</v>
      </c>
    </row>
    <row r="22" spans="1:34" x14ac:dyDescent="0.35">
      <c r="A22" s="7">
        <v>20</v>
      </c>
      <c r="B22" s="8" t="s">
        <v>58</v>
      </c>
      <c r="C22" s="7">
        <v>3</v>
      </c>
      <c r="D22" s="7">
        <v>4</v>
      </c>
      <c r="E22" s="7">
        <v>6</v>
      </c>
      <c r="F22" s="7">
        <v>5</v>
      </c>
      <c r="G22" s="7">
        <v>3</v>
      </c>
      <c r="H22" s="7">
        <v>4</v>
      </c>
      <c r="I22" s="7">
        <v>5</v>
      </c>
      <c r="J22" s="7">
        <v>2</v>
      </c>
      <c r="K22" s="7">
        <v>4</v>
      </c>
      <c r="L22" s="7">
        <v>3</v>
      </c>
      <c r="M22" s="7">
        <v>4</v>
      </c>
      <c r="N22" s="7">
        <v>4</v>
      </c>
      <c r="O22" s="7">
        <v>4</v>
      </c>
      <c r="P22" s="7">
        <v>6</v>
      </c>
      <c r="Q22" s="7">
        <v>2</v>
      </c>
      <c r="R22" s="7">
        <v>3</v>
      </c>
      <c r="S22" s="7">
        <v>3</v>
      </c>
      <c r="T22" s="7">
        <v>3</v>
      </c>
      <c r="U22" s="7">
        <v>5</v>
      </c>
      <c r="V22" s="7">
        <v>3</v>
      </c>
      <c r="W22" s="7">
        <v>3</v>
      </c>
      <c r="X22" s="7">
        <v>2</v>
      </c>
      <c r="Y22" s="7">
        <v>5</v>
      </c>
      <c r="Z22" s="7">
        <v>5</v>
      </c>
      <c r="AA22" s="7">
        <v>4</v>
      </c>
      <c r="AB22" s="7">
        <v>6</v>
      </c>
      <c r="AC22" s="7">
        <v>5</v>
      </c>
      <c r="AD22" s="7">
        <v>5</v>
      </c>
      <c r="AE22" s="7">
        <v>2</v>
      </c>
      <c r="AF22" s="7">
        <v>3</v>
      </c>
      <c r="AG22" s="9">
        <f t="shared" si="0"/>
        <v>116</v>
      </c>
      <c r="AH22" s="8"/>
    </row>
    <row r="23" spans="1:34" x14ac:dyDescent="0.35">
      <c r="A23" s="7">
        <v>21</v>
      </c>
      <c r="B23" s="8" t="s">
        <v>59</v>
      </c>
      <c r="C23" s="7">
        <v>5</v>
      </c>
      <c r="D23" s="7">
        <v>5</v>
      </c>
      <c r="E23" s="7">
        <v>6</v>
      </c>
      <c r="F23" s="7">
        <v>2</v>
      </c>
      <c r="G23" s="7">
        <v>6</v>
      </c>
      <c r="H23" s="7">
        <v>5</v>
      </c>
      <c r="I23" s="7">
        <v>5</v>
      </c>
      <c r="J23" s="7">
        <v>2</v>
      </c>
      <c r="K23" s="7">
        <v>4</v>
      </c>
      <c r="L23" s="7">
        <v>4</v>
      </c>
      <c r="M23" s="7">
        <v>5</v>
      </c>
      <c r="N23" s="7">
        <v>5</v>
      </c>
      <c r="O23" s="7">
        <v>6</v>
      </c>
      <c r="P23" s="7">
        <v>6</v>
      </c>
      <c r="Q23" s="7">
        <v>6</v>
      </c>
      <c r="R23" s="7">
        <v>3</v>
      </c>
      <c r="S23" s="7">
        <v>5</v>
      </c>
      <c r="T23" s="7">
        <v>3</v>
      </c>
      <c r="U23" s="7">
        <v>4</v>
      </c>
      <c r="V23" s="7">
        <v>5</v>
      </c>
      <c r="W23" s="7">
        <v>5</v>
      </c>
      <c r="X23" s="7">
        <v>2</v>
      </c>
      <c r="Y23" s="7">
        <v>5</v>
      </c>
      <c r="Z23" s="7">
        <v>4</v>
      </c>
      <c r="AA23" s="7">
        <v>5</v>
      </c>
      <c r="AB23" s="7">
        <v>3</v>
      </c>
      <c r="AC23" s="7">
        <v>5</v>
      </c>
      <c r="AD23" s="7">
        <v>3</v>
      </c>
      <c r="AE23" s="7">
        <v>6</v>
      </c>
      <c r="AF23" s="7">
        <v>6</v>
      </c>
      <c r="AG23" s="9">
        <f t="shared" si="0"/>
        <v>136</v>
      </c>
      <c r="AH23" s="8" t="s">
        <v>60</v>
      </c>
    </row>
    <row r="24" spans="1:34" x14ac:dyDescent="0.35">
      <c r="A24" s="7">
        <v>22</v>
      </c>
      <c r="B24" s="8" t="s">
        <v>61</v>
      </c>
      <c r="C24" s="7">
        <v>5</v>
      </c>
      <c r="D24" s="7">
        <v>6</v>
      </c>
      <c r="E24" s="7">
        <v>6</v>
      </c>
      <c r="F24" s="7">
        <v>2</v>
      </c>
      <c r="G24" s="7">
        <v>2</v>
      </c>
      <c r="H24" s="7">
        <v>5</v>
      </c>
      <c r="I24" s="7">
        <v>3</v>
      </c>
      <c r="J24" s="7">
        <v>5</v>
      </c>
      <c r="K24" s="7">
        <v>3</v>
      </c>
      <c r="L24" s="7">
        <v>2</v>
      </c>
      <c r="M24" s="7">
        <v>4</v>
      </c>
      <c r="N24" s="7">
        <v>5</v>
      </c>
      <c r="O24" s="7">
        <v>4</v>
      </c>
      <c r="P24" s="7">
        <v>3</v>
      </c>
      <c r="Q24" s="7">
        <v>5</v>
      </c>
      <c r="R24" s="7">
        <v>4</v>
      </c>
      <c r="S24" s="7">
        <v>4</v>
      </c>
      <c r="T24" s="7">
        <v>5</v>
      </c>
      <c r="U24" s="7">
        <v>4</v>
      </c>
      <c r="V24" s="7">
        <v>5</v>
      </c>
      <c r="W24" s="7">
        <v>4</v>
      </c>
      <c r="X24" s="7">
        <v>2</v>
      </c>
      <c r="Y24" s="7">
        <v>5</v>
      </c>
      <c r="Z24" s="7">
        <v>2</v>
      </c>
      <c r="AA24" s="7">
        <v>6</v>
      </c>
      <c r="AB24" s="7">
        <v>2</v>
      </c>
      <c r="AC24" s="7">
        <v>4</v>
      </c>
      <c r="AD24" s="7">
        <v>3</v>
      </c>
      <c r="AE24" s="7">
        <v>2</v>
      </c>
      <c r="AF24" s="7">
        <v>2</v>
      </c>
      <c r="AG24" s="9">
        <f t="shared" si="0"/>
        <v>114</v>
      </c>
      <c r="AH24" s="8"/>
    </row>
    <row r="25" spans="1:34" x14ac:dyDescent="0.35">
      <c r="A25" s="7">
        <v>23</v>
      </c>
      <c r="B25" s="8" t="s">
        <v>62</v>
      </c>
      <c r="C25" s="7">
        <v>2</v>
      </c>
      <c r="D25" s="7">
        <v>3</v>
      </c>
      <c r="E25" s="7">
        <v>3</v>
      </c>
      <c r="F25" s="7">
        <v>2</v>
      </c>
      <c r="G25" s="7">
        <v>6</v>
      </c>
      <c r="H25" s="7">
        <v>3</v>
      </c>
      <c r="I25" s="7">
        <v>3</v>
      </c>
      <c r="J25" s="7">
        <v>3</v>
      </c>
      <c r="K25" s="7">
        <v>5</v>
      </c>
      <c r="L25" s="7">
        <v>2</v>
      </c>
      <c r="M25" s="7">
        <v>6</v>
      </c>
      <c r="N25" s="7">
        <v>3</v>
      </c>
      <c r="O25" s="7">
        <v>5</v>
      </c>
      <c r="P25" s="7">
        <v>4</v>
      </c>
      <c r="Q25" s="7">
        <v>4</v>
      </c>
      <c r="R25" s="7">
        <v>3</v>
      </c>
      <c r="S25" s="7">
        <v>6</v>
      </c>
      <c r="T25" s="7">
        <v>6</v>
      </c>
      <c r="U25" s="7">
        <v>2</v>
      </c>
      <c r="V25" s="7">
        <v>3</v>
      </c>
      <c r="W25" s="7">
        <v>4</v>
      </c>
      <c r="X25" s="7">
        <v>2</v>
      </c>
      <c r="Y25" s="7">
        <v>6</v>
      </c>
      <c r="Z25" s="7">
        <v>2</v>
      </c>
      <c r="AA25" s="7">
        <v>4</v>
      </c>
      <c r="AB25" s="7">
        <v>6</v>
      </c>
      <c r="AC25" s="7">
        <v>5</v>
      </c>
      <c r="AD25" s="7">
        <v>5</v>
      </c>
      <c r="AE25" s="7">
        <v>3</v>
      </c>
      <c r="AF25" s="7">
        <v>2</v>
      </c>
      <c r="AG25" s="9">
        <f t="shared" si="0"/>
        <v>113</v>
      </c>
      <c r="AH25" s="8" t="s">
        <v>42</v>
      </c>
    </row>
    <row r="26" spans="1:34" x14ac:dyDescent="0.35">
      <c r="A26" s="7">
        <v>24</v>
      </c>
      <c r="B26" s="8" t="s">
        <v>63</v>
      </c>
      <c r="C26" s="7">
        <v>3</v>
      </c>
      <c r="D26" s="7">
        <v>2</v>
      </c>
      <c r="E26" s="7">
        <v>4</v>
      </c>
      <c r="F26" s="7">
        <v>6</v>
      </c>
      <c r="G26" s="7">
        <v>2</v>
      </c>
      <c r="H26" s="7">
        <v>6</v>
      </c>
      <c r="I26" s="7">
        <v>2</v>
      </c>
      <c r="J26" s="7">
        <v>4</v>
      </c>
      <c r="K26" s="7">
        <v>6</v>
      </c>
      <c r="L26" s="7">
        <v>5</v>
      </c>
      <c r="M26" s="7">
        <v>4</v>
      </c>
      <c r="N26" s="7">
        <v>2</v>
      </c>
      <c r="O26" s="7">
        <v>6</v>
      </c>
      <c r="P26" s="7">
        <v>4</v>
      </c>
      <c r="Q26" s="7">
        <v>2</v>
      </c>
      <c r="R26" s="7">
        <v>5</v>
      </c>
      <c r="S26" s="7">
        <v>5</v>
      </c>
      <c r="T26" s="7">
        <v>2</v>
      </c>
      <c r="U26" s="7">
        <v>5</v>
      </c>
      <c r="V26" s="7">
        <v>4</v>
      </c>
      <c r="W26" s="7">
        <v>5</v>
      </c>
      <c r="X26" s="7">
        <v>3</v>
      </c>
      <c r="Y26" s="7">
        <v>5</v>
      </c>
      <c r="Z26" s="7">
        <v>3</v>
      </c>
      <c r="AA26" s="7">
        <v>6</v>
      </c>
      <c r="AB26" s="7">
        <v>4</v>
      </c>
      <c r="AC26" s="7">
        <v>6</v>
      </c>
      <c r="AD26" s="7">
        <v>6</v>
      </c>
      <c r="AE26" s="7">
        <v>5</v>
      </c>
      <c r="AF26" s="7">
        <v>5</v>
      </c>
      <c r="AG26" s="9">
        <f t="shared" si="0"/>
        <v>127</v>
      </c>
      <c r="AH26" s="8" t="s">
        <v>36</v>
      </c>
    </row>
    <row r="27" spans="1:34" x14ac:dyDescent="0.35">
      <c r="A27" s="7">
        <v>25</v>
      </c>
      <c r="B27" s="8" t="s">
        <v>64</v>
      </c>
      <c r="C27" s="7">
        <v>6</v>
      </c>
      <c r="D27" s="7">
        <v>4</v>
      </c>
      <c r="E27" s="7">
        <v>4</v>
      </c>
      <c r="F27" s="7">
        <v>3</v>
      </c>
      <c r="G27" s="7">
        <v>2</v>
      </c>
      <c r="H27" s="7">
        <v>4</v>
      </c>
      <c r="I27" s="7">
        <v>5</v>
      </c>
      <c r="J27" s="7">
        <v>3</v>
      </c>
      <c r="K27" s="7">
        <v>5</v>
      </c>
      <c r="L27" s="7">
        <v>6</v>
      </c>
      <c r="M27" s="7">
        <v>6</v>
      </c>
      <c r="N27" s="7">
        <v>5</v>
      </c>
      <c r="O27" s="7">
        <v>4</v>
      </c>
      <c r="P27" s="7">
        <v>2</v>
      </c>
      <c r="Q27" s="7">
        <v>5</v>
      </c>
      <c r="R27" s="7">
        <v>4</v>
      </c>
      <c r="S27" s="7">
        <v>3</v>
      </c>
      <c r="T27" s="7">
        <v>5</v>
      </c>
      <c r="U27" s="7">
        <v>3</v>
      </c>
      <c r="V27" s="7">
        <v>4</v>
      </c>
      <c r="W27" s="7">
        <v>4</v>
      </c>
      <c r="X27" s="7">
        <v>4</v>
      </c>
      <c r="Y27" s="7">
        <v>4</v>
      </c>
      <c r="Z27" s="7">
        <v>6</v>
      </c>
      <c r="AA27" s="7">
        <v>4</v>
      </c>
      <c r="AB27" s="7">
        <v>6</v>
      </c>
      <c r="AC27" s="7">
        <v>2</v>
      </c>
      <c r="AD27" s="7">
        <v>6</v>
      </c>
      <c r="AE27" s="7">
        <v>3</v>
      </c>
      <c r="AF27" s="7">
        <v>2</v>
      </c>
      <c r="AG27" s="9">
        <f t="shared" si="0"/>
        <v>124</v>
      </c>
      <c r="AH27" s="8" t="s">
        <v>65</v>
      </c>
    </row>
    <row r="28" spans="1:34" x14ac:dyDescent="0.35">
      <c r="A28" s="7">
        <v>26</v>
      </c>
      <c r="B28" s="8" t="s">
        <v>66</v>
      </c>
      <c r="C28" s="7">
        <v>4</v>
      </c>
      <c r="D28" s="7">
        <v>4</v>
      </c>
      <c r="E28" s="7">
        <v>2</v>
      </c>
      <c r="F28" s="7">
        <v>4</v>
      </c>
      <c r="G28" s="7">
        <v>4</v>
      </c>
      <c r="H28" s="7">
        <v>4</v>
      </c>
      <c r="I28" s="7">
        <v>1</v>
      </c>
      <c r="J28" s="7">
        <v>1</v>
      </c>
      <c r="K28" s="7">
        <v>3</v>
      </c>
      <c r="L28" s="7">
        <v>2</v>
      </c>
      <c r="M28" s="7">
        <v>4</v>
      </c>
      <c r="N28" s="7">
        <v>2</v>
      </c>
      <c r="O28" s="7">
        <v>3</v>
      </c>
      <c r="P28" s="7">
        <v>3</v>
      </c>
      <c r="Q28" s="7">
        <v>4</v>
      </c>
      <c r="R28" s="7">
        <v>3</v>
      </c>
      <c r="S28" s="7">
        <v>4</v>
      </c>
      <c r="T28" s="7">
        <v>3</v>
      </c>
      <c r="U28" s="7">
        <v>3</v>
      </c>
      <c r="V28" s="7">
        <v>4</v>
      </c>
      <c r="W28" s="7">
        <v>3</v>
      </c>
      <c r="X28" s="7">
        <v>3</v>
      </c>
      <c r="Y28" s="7">
        <v>3</v>
      </c>
      <c r="Z28" s="7">
        <v>2</v>
      </c>
      <c r="AA28" s="7">
        <v>1</v>
      </c>
      <c r="AB28" s="7">
        <v>2</v>
      </c>
      <c r="AC28" s="7">
        <v>3</v>
      </c>
      <c r="AD28" s="7">
        <v>1</v>
      </c>
      <c r="AE28" s="7">
        <v>2</v>
      </c>
      <c r="AF28" s="7">
        <v>2</v>
      </c>
      <c r="AG28" s="9">
        <f t="shared" si="0"/>
        <v>84</v>
      </c>
      <c r="AH28" s="8" t="s">
        <v>65</v>
      </c>
    </row>
    <row r="29" spans="1:34" x14ac:dyDescent="0.35">
      <c r="A29" s="7">
        <v>27</v>
      </c>
      <c r="B29" s="8" t="s">
        <v>67</v>
      </c>
      <c r="C29" s="7">
        <v>4</v>
      </c>
      <c r="D29" s="7">
        <v>3</v>
      </c>
      <c r="E29" s="7">
        <v>3</v>
      </c>
      <c r="F29" s="7">
        <v>1</v>
      </c>
      <c r="G29" s="7">
        <v>2</v>
      </c>
      <c r="H29" s="7">
        <v>3</v>
      </c>
      <c r="I29" s="7">
        <v>2</v>
      </c>
      <c r="J29" s="7">
        <v>3</v>
      </c>
      <c r="K29" s="7">
        <v>2</v>
      </c>
      <c r="L29" s="7">
        <v>3</v>
      </c>
      <c r="M29" s="7">
        <v>1</v>
      </c>
      <c r="N29" s="7">
        <v>2</v>
      </c>
      <c r="O29" s="7">
        <v>3</v>
      </c>
      <c r="P29" s="7">
        <v>1</v>
      </c>
      <c r="Q29" s="7">
        <v>1</v>
      </c>
      <c r="R29" s="7">
        <v>3</v>
      </c>
      <c r="S29" s="7">
        <v>2</v>
      </c>
      <c r="T29" s="7">
        <v>4</v>
      </c>
      <c r="U29" s="7">
        <v>1</v>
      </c>
      <c r="V29" s="7">
        <v>1</v>
      </c>
      <c r="W29" s="7">
        <v>3</v>
      </c>
      <c r="X29" s="7">
        <v>4</v>
      </c>
      <c r="Y29" s="7">
        <v>4</v>
      </c>
      <c r="Z29" s="7">
        <v>4</v>
      </c>
      <c r="AA29" s="7">
        <v>3</v>
      </c>
      <c r="AB29" s="7">
        <v>2</v>
      </c>
      <c r="AC29" s="7">
        <v>1</v>
      </c>
      <c r="AD29" s="7">
        <v>3</v>
      </c>
      <c r="AE29" s="7">
        <v>4</v>
      </c>
      <c r="AF29" s="7">
        <v>1</v>
      </c>
      <c r="AG29" s="9">
        <f t="shared" si="0"/>
        <v>74</v>
      </c>
      <c r="AH29" s="8"/>
    </row>
    <row r="30" spans="1:34" x14ac:dyDescent="0.35">
      <c r="A30" s="7">
        <v>28</v>
      </c>
      <c r="B30" s="8" t="s">
        <v>68</v>
      </c>
      <c r="C30" s="7">
        <v>1</v>
      </c>
      <c r="D30" s="7">
        <v>4</v>
      </c>
      <c r="E30" s="7">
        <v>4</v>
      </c>
      <c r="F30" s="7">
        <v>1</v>
      </c>
      <c r="G30" s="7">
        <v>1</v>
      </c>
      <c r="H30" s="7">
        <v>2</v>
      </c>
      <c r="I30" s="7">
        <v>2</v>
      </c>
      <c r="J30" s="7">
        <v>3</v>
      </c>
      <c r="K30" s="7">
        <v>1</v>
      </c>
      <c r="L30" s="7">
        <v>2</v>
      </c>
      <c r="M30" s="7">
        <v>1</v>
      </c>
      <c r="N30" s="7">
        <v>4</v>
      </c>
      <c r="O30" s="7">
        <v>2</v>
      </c>
      <c r="P30" s="7">
        <v>4</v>
      </c>
      <c r="Q30" s="7">
        <v>4</v>
      </c>
      <c r="R30" s="7">
        <v>4</v>
      </c>
      <c r="S30" s="7">
        <v>3</v>
      </c>
      <c r="T30" s="7">
        <v>4</v>
      </c>
      <c r="U30" s="7">
        <v>3</v>
      </c>
      <c r="V30" s="7">
        <v>1</v>
      </c>
      <c r="W30" s="7">
        <v>1</v>
      </c>
      <c r="X30" s="7">
        <v>2</v>
      </c>
      <c r="Y30" s="7">
        <v>2</v>
      </c>
      <c r="Z30" s="7">
        <v>3</v>
      </c>
      <c r="AA30" s="7">
        <v>1</v>
      </c>
      <c r="AB30" s="7">
        <v>2</v>
      </c>
      <c r="AC30" s="7">
        <v>2</v>
      </c>
      <c r="AD30" s="7">
        <v>2</v>
      </c>
      <c r="AE30" s="7">
        <v>1</v>
      </c>
      <c r="AF30" s="7">
        <v>2</v>
      </c>
      <c r="AG30" s="9">
        <f t="shared" si="0"/>
        <v>69</v>
      </c>
      <c r="AH30" s="8" t="s">
        <v>60</v>
      </c>
    </row>
    <row r="31" spans="1:34" x14ac:dyDescent="0.35">
      <c r="A31" s="7">
        <v>29</v>
      </c>
      <c r="B31" s="8" t="s">
        <v>69</v>
      </c>
      <c r="C31" s="7">
        <v>4</v>
      </c>
      <c r="D31" s="7">
        <v>4</v>
      </c>
      <c r="E31" s="7">
        <v>4</v>
      </c>
      <c r="F31" s="7">
        <v>3</v>
      </c>
      <c r="G31" s="7">
        <v>1</v>
      </c>
      <c r="H31" s="7">
        <v>2</v>
      </c>
      <c r="I31" s="7">
        <v>3</v>
      </c>
      <c r="J31" s="7">
        <v>3</v>
      </c>
      <c r="K31" s="7">
        <v>4</v>
      </c>
      <c r="L31" s="7">
        <v>1</v>
      </c>
      <c r="M31" s="7">
        <v>2</v>
      </c>
      <c r="N31" s="7">
        <v>3</v>
      </c>
      <c r="O31" s="7">
        <v>2</v>
      </c>
      <c r="P31" s="7">
        <v>4</v>
      </c>
      <c r="Q31" s="7">
        <v>1</v>
      </c>
      <c r="R31" s="7">
        <v>2</v>
      </c>
      <c r="S31" s="7">
        <v>2</v>
      </c>
      <c r="T31" s="7">
        <v>3</v>
      </c>
      <c r="U31" s="7">
        <v>2</v>
      </c>
      <c r="V31" s="7">
        <v>1</v>
      </c>
      <c r="W31" s="7">
        <v>1</v>
      </c>
      <c r="X31" s="7">
        <v>2</v>
      </c>
      <c r="Y31" s="7">
        <v>3</v>
      </c>
      <c r="Z31" s="7">
        <v>3</v>
      </c>
      <c r="AA31" s="7">
        <v>4</v>
      </c>
      <c r="AB31" s="7">
        <v>1</v>
      </c>
      <c r="AC31" s="7">
        <v>4</v>
      </c>
      <c r="AD31" s="7">
        <v>3</v>
      </c>
      <c r="AE31" s="7">
        <v>4</v>
      </c>
      <c r="AF31" s="7">
        <v>3</v>
      </c>
      <c r="AG31" s="9">
        <f t="shared" si="0"/>
        <v>79</v>
      </c>
      <c r="AH31" s="8" t="s">
        <v>42</v>
      </c>
    </row>
    <row r="32" spans="1:34" x14ac:dyDescent="0.35">
      <c r="A32" s="7">
        <v>30</v>
      </c>
      <c r="B32" s="8" t="s">
        <v>70</v>
      </c>
      <c r="C32" s="7">
        <v>4</v>
      </c>
      <c r="D32" s="7">
        <v>4</v>
      </c>
      <c r="E32" s="7">
        <v>1</v>
      </c>
      <c r="F32" s="7">
        <v>1</v>
      </c>
      <c r="G32" s="7">
        <v>4</v>
      </c>
      <c r="H32" s="7">
        <v>3</v>
      </c>
      <c r="I32" s="7">
        <v>3</v>
      </c>
      <c r="J32" s="7">
        <v>1</v>
      </c>
      <c r="K32" s="7">
        <v>1</v>
      </c>
      <c r="L32" s="7">
        <v>2</v>
      </c>
      <c r="M32" s="7">
        <v>1</v>
      </c>
      <c r="N32" s="7">
        <v>3</v>
      </c>
      <c r="O32" s="7">
        <v>1</v>
      </c>
      <c r="P32" s="7">
        <v>2</v>
      </c>
      <c r="Q32" s="7">
        <v>4</v>
      </c>
      <c r="R32" s="7">
        <v>4</v>
      </c>
      <c r="S32" s="7">
        <v>3</v>
      </c>
      <c r="T32" s="7">
        <v>2</v>
      </c>
      <c r="U32" s="7">
        <v>4</v>
      </c>
      <c r="V32" s="7">
        <v>4</v>
      </c>
      <c r="W32" s="7">
        <v>1</v>
      </c>
      <c r="X32" s="7">
        <v>4</v>
      </c>
      <c r="Y32" s="7">
        <v>3</v>
      </c>
      <c r="Z32" s="7">
        <v>4</v>
      </c>
      <c r="AA32" s="7">
        <v>3</v>
      </c>
      <c r="AB32" s="7">
        <v>3</v>
      </c>
      <c r="AC32" s="7">
        <v>1</v>
      </c>
      <c r="AD32" s="7">
        <v>2</v>
      </c>
      <c r="AE32" s="7">
        <v>3</v>
      </c>
      <c r="AF32" s="7">
        <v>4</v>
      </c>
      <c r="AG32" s="9">
        <f t="shared" si="0"/>
        <v>80</v>
      </c>
      <c r="AH32" s="8" t="s">
        <v>39</v>
      </c>
    </row>
    <row r="33" spans="1:34" x14ac:dyDescent="0.35">
      <c r="A33" s="7">
        <v>31</v>
      </c>
      <c r="B33" s="8" t="s">
        <v>71</v>
      </c>
      <c r="C33" s="7">
        <v>4</v>
      </c>
      <c r="D33" s="7">
        <v>3</v>
      </c>
      <c r="E33" s="7">
        <v>4</v>
      </c>
      <c r="F33" s="7">
        <v>1</v>
      </c>
      <c r="G33" s="7">
        <v>4</v>
      </c>
      <c r="H33" s="7">
        <v>1</v>
      </c>
      <c r="I33" s="7">
        <v>3</v>
      </c>
      <c r="J33" s="7">
        <v>3</v>
      </c>
      <c r="K33" s="7">
        <v>3</v>
      </c>
      <c r="L33" s="7">
        <v>1</v>
      </c>
      <c r="M33" s="7">
        <v>4</v>
      </c>
      <c r="N33" s="7">
        <v>1</v>
      </c>
      <c r="O33" s="7">
        <v>4</v>
      </c>
      <c r="P33" s="7">
        <v>4</v>
      </c>
      <c r="Q33" s="7">
        <v>1</v>
      </c>
      <c r="R33" s="7">
        <v>2</v>
      </c>
      <c r="S33" s="7">
        <v>3</v>
      </c>
      <c r="T33" s="7">
        <v>4</v>
      </c>
      <c r="U33" s="7">
        <v>4</v>
      </c>
      <c r="V33" s="7">
        <v>1</v>
      </c>
      <c r="W33" s="7">
        <v>2</v>
      </c>
      <c r="X33" s="7">
        <v>3</v>
      </c>
      <c r="Y33" s="7">
        <v>2</v>
      </c>
      <c r="Z33" s="7">
        <v>3</v>
      </c>
      <c r="AA33" s="7">
        <v>4</v>
      </c>
      <c r="AB33" s="7">
        <v>4</v>
      </c>
      <c r="AC33" s="7">
        <v>1</v>
      </c>
      <c r="AD33" s="7">
        <v>1</v>
      </c>
      <c r="AE33" s="7">
        <v>2</v>
      </c>
      <c r="AF33" s="7">
        <v>2</v>
      </c>
      <c r="AG33" s="9">
        <f t="shared" si="0"/>
        <v>79</v>
      </c>
      <c r="AH33" s="8" t="s">
        <v>51</v>
      </c>
    </row>
    <row r="34" spans="1:34" x14ac:dyDescent="0.35">
      <c r="A34" s="7">
        <v>32</v>
      </c>
      <c r="B34" s="8" t="s">
        <v>72</v>
      </c>
      <c r="C34" s="7">
        <v>1</v>
      </c>
      <c r="D34" s="7">
        <v>4</v>
      </c>
      <c r="E34" s="7">
        <v>1</v>
      </c>
      <c r="F34" s="7">
        <v>2</v>
      </c>
      <c r="G34" s="7">
        <v>1</v>
      </c>
      <c r="H34" s="7">
        <v>4</v>
      </c>
      <c r="I34" s="7">
        <v>1</v>
      </c>
      <c r="J34" s="7">
        <v>2</v>
      </c>
      <c r="K34" s="7">
        <v>4</v>
      </c>
      <c r="L34" s="7">
        <v>3</v>
      </c>
      <c r="M34" s="7">
        <v>3</v>
      </c>
      <c r="N34" s="7">
        <v>4</v>
      </c>
      <c r="O34" s="7">
        <v>4</v>
      </c>
      <c r="P34" s="7">
        <v>4</v>
      </c>
      <c r="Q34" s="7">
        <v>2</v>
      </c>
      <c r="R34" s="7">
        <v>4</v>
      </c>
      <c r="S34" s="7">
        <v>2</v>
      </c>
      <c r="T34" s="7">
        <v>4</v>
      </c>
      <c r="U34" s="7">
        <v>2</v>
      </c>
      <c r="V34" s="7">
        <v>2</v>
      </c>
      <c r="W34" s="7">
        <v>1</v>
      </c>
      <c r="X34" s="7">
        <v>3</v>
      </c>
      <c r="Y34" s="7">
        <v>4</v>
      </c>
      <c r="Z34" s="7">
        <v>3</v>
      </c>
      <c r="AA34" s="7">
        <v>3</v>
      </c>
      <c r="AB34" s="7">
        <v>1</v>
      </c>
      <c r="AC34" s="7">
        <v>3</v>
      </c>
      <c r="AD34" s="7">
        <v>3</v>
      </c>
      <c r="AE34" s="7">
        <v>4</v>
      </c>
      <c r="AF34" s="7">
        <v>2</v>
      </c>
      <c r="AG34" s="9">
        <f t="shared" si="0"/>
        <v>81</v>
      </c>
      <c r="AH34" s="8" t="s">
        <v>36</v>
      </c>
    </row>
    <row r="35" spans="1:34" x14ac:dyDescent="0.35">
      <c r="A35" s="7">
        <v>33</v>
      </c>
      <c r="B35" s="8" t="s">
        <v>73</v>
      </c>
      <c r="C35" s="7">
        <v>4</v>
      </c>
      <c r="D35" s="7">
        <v>3</v>
      </c>
      <c r="E35" s="7">
        <v>3</v>
      </c>
      <c r="F35" s="7">
        <v>4</v>
      </c>
      <c r="G35" s="7">
        <v>4</v>
      </c>
      <c r="H35" s="7">
        <v>3</v>
      </c>
      <c r="I35" s="7">
        <v>2</v>
      </c>
      <c r="J35" s="7">
        <v>2</v>
      </c>
      <c r="K35" s="7">
        <v>4</v>
      </c>
      <c r="L35" s="7">
        <v>2</v>
      </c>
      <c r="M35" s="7">
        <v>4</v>
      </c>
      <c r="N35" s="7">
        <v>1</v>
      </c>
      <c r="O35" s="7">
        <v>3</v>
      </c>
      <c r="P35" s="7">
        <v>4</v>
      </c>
      <c r="Q35" s="7">
        <v>4</v>
      </c>
      <c r="R35" s="7">
        <v>4</v>
      </c>
      <c r="S35" s="7">
        <v>2</v>
      </c>
      <c r="T35" s="7">
        <v>4</v>
      </c>
      <c r="U35" s="7">
        <v>1</v>
      </c>
      <c r="V35" s="7">
        <v>2</v>
      </c>
      <c r="W35" s="7">
        <v>3</v>
      </c>
      <c r="X35" s="7">
        <v>1</v>
      </c>
      <c r="Y35" s="7">
        <v>4</v>
      </c>
      <c r="Z35" s="7">
        <v>1</v>
      </c>
      <c r="AA35" s="7">
        <v>4</v>
      </c>
      <c r="AB35" s="7">
        <v>1</v>
      </c>
      <c r="AC35" s="7">
        <v>2</v>
      </c>
      <c r="AD35" s="7">
        <v>4</v>
      </c>
      <c r="AE35" s="7">
        <v>2</v>
      </c>
      <c r="AF35" s="7">
        <v>1</v>
      </c>
      <c r="AG35" s="9">
        <f t="shared" si="0"/>
        <v>83</v>
      </c>
      <c r="AH35" s="8" t="s">
        <v>36</v>
      </c>
    </row>
    <row r="36" spans="1:34" x14ac:dyDescent="0.35">
      <c r="A36" s="7">
        <v>34</v>
      </c>
      <c r="B36" s="8" t="s">
        <v>74</v>
      </c>
      <c r="C36" s="7">
        <v>3</v>
      </c>
      <c r="D36" s="7">
        <v>3</v>
      </c>
      <c r="E36" s="7">
        <v>4</v>
      </c>
      <c r="F36" s="7">
        <v>1</v>
      </c>
      <c r="G36" s="7">
        <v>3</v>
      </c>
      <c r="H36" s="7">
        <v>4</v>
      </c>
      <c r="I36" s="7">
        <v>3</v>
      </c>
      <c r="J36" s="7">
        <v>4</v>
      </c>
      <c r="K36" s="7">
        <v>1</v>
      </c>
      <c r="L36" s="7">
        <v>1</v>
      </c>
      <c r="M36" s="7">
        <v>2</v>
      </c>
      <c r="N36" s="7">
        <v>3</v>
      </c>
      <c r="O36" s="7">
        <v>2</v>
      </c>
      <c r="P36" s="7">
        <v>1</v>
      </c>
      <c r="Q36" s="7">
        <v>4</v>
      </c>
      <c r="R36" s="7">
        <v>1</v>
      </c>
      <c r="S36" s="7">
        <v>1</v>
      </c>
      <c r="T36" s="7">
        <v>4</v>
      </c>
      <c r="U36" s="7">
        <v>2</v>
      </c>
      <c r="V36" s="7">
        <v>3</v>
      </c>
      <c r="W36" s="7">
        <v>1</v>
      </c>
      <c r="X36" s="7">
        <v>1</v>
      </c>
      <c r="Y36" s="7">
        <v>3</v>
      </c>
      <c r="Z36" s="7">
        <v>1</v>
      </c>
      <c r="AA36" s="7">
        <v>3</v>
      </c>
      <c r="AB36" s="7">
        <v>3</v>
      </c>
      <c r="AC36" s="7">
        <v>3</v>
      </c>
      <c r="AD36" s="7">
        <v>4</v>
      </c>
      <c r="AE36" s="7">
        <v>2</v>
      </c>
      <c r="AF36" s="7">
        <v>2</v>
      </c>
      <c r="AG36" s="9">
        <f t="shared" si="0"/>
        <v>73</v>
      </c>
      <c r="AH36" s="8" t="s">
        <v>42</v>
      </c>
    </row>
    <row r="37" spans="1:34" x14ac:dyDescent="0.35">
      <c r="A37" s="7">
        <v>35</v>
      </c>
      <c r="B37" s="8" t="s">
        <v>75</v>
      </c>
      <c r="C37" s="7">
        <v>4</v>
      </c>
      <c r="D37" s="7">
        <v>2</v>
      </c>
      <c r="E37" s="7">
        <v>2</v>
      </c>
      <c r="F37" s="7">
        <v>2</v>
      </c>
      <c r="G37" s="7">
        <v>1</v>
      </c>
      <c r="H37" s="7">
        <v>4</v>
      </c>
      <c r="I37" s="7">
        <v>2</v>
      </c>
      <c r="J37" s="7">
        <v>4</v>
      </c>
      <c r="K37" s="7">
        <v>2</v>
      </c>
      <c r="L37" s="7">
        <v>2</v>
      </c>
      <c r="M37" s="7">
        <v>4</v>
      </c>
      <c r="N37" s="7">
        <v>3</v>
      </c>
      <c r="O37" s="7">
        <v>4</v>
      </c>
      <c r="P37" s="7">
        <v>4</v>
      </c>
      <c r="Q37" s="7">
        <v>4</v>
      </c>
      <c r="R37" s="7">
        <v>4</v>
      </c>
      <c r="S37" s="7">
        <v>4</v>
      </c>
      <c r="T37" s="7">
        <v>4</v>
      </c>
      <c r="U37" s="7">
        <v>4</v>
      </c>
      <c r="V37" s="7">
        <v>4</v>
      </c>
      <c r="W37" s="7">
        <v>4</v>
      </c>
      <c r="X37" s="7">
        <v>4</v>
      </c>
      <c r="Y37" s="7">
        <v>4</v>
      </c>
      <c r="Z37" s="7">
        <v>4</v>
      </c>
      <c r="AA37" s="7">
        <v>4</v>
      </c>
      <c r="AB37" s="7">
        <v>4</v>
      </c>
      <c r="AC37" s="7">
        <v>4</v>
      </c>
      <c r="AD37" s="7">
        <v>4</v>
      </c>
      <c r="AE37" s="7">
        <v>4</v>
      </c>
      <c r="AF37" s="7">
        <v>4</v>
      </c>
      <c r="AG37" s="9">
        <f t="shared" si="0"/>
        <v>104</v>
      </c>
      <c r="AH37" s="8" t="s">
        <v>65</v>
      </c>
    </row>
    <row r="38" spans="1:34" x14ac:dyDescent="0.35">
      <c r="A38" s="7">
        <v>36</v>
      </c>
      <c r="B38" s="8" t="s">
        <v>76</v>
      </c>
      <c r="C38" s="7">
        <v>3</v>
      </c>
      <c r="D38" s="7">
        <v>2</v>
      </c>
      <c r="E38" s="7">
        <v>2</v>
      </c>
      <c r="F38" s="7">
        <v>2</v>
      </c>
      <c r="G38" s="7">
        <v>0</v>
      </c>
      <c r="H38" s="7">
        <v>3</v>
      </c>
      <c r="I38" s="7">
        <v>2</v>
      </c>
      <c r="J38" s="7">
        <v>0</v>
      </c>
      <c r="K38" s="7">
        <v>0</v>
      </c>
      <c r="L38" s="7">
        <v>3</v>
      </c>
      <c r="M38" s="7">
        <v>2</v>
      </c>
      <c r="N38" s="7">
        <v>1</v>
      </c>
      <c r="O38" s="7">
        <v>2</v>
      </c>
      <c r="P38" s="7">
        <v>1</v>
      </c>
      <c r="Q38" s="7">
        <v>1</v>
      </c>
      <c r="R38" s="7">
        <v>2</v>
      </c>
      <c r="S38" s="7">
        <v>1</v>
      </c>
      <c r="T38" s="7">
        <v>0</v>
      </c>
      <c r="U38" s="7">
        <v>0</v>
      </c>
      <c r="V38" s="7">
        <v>2</v>
      </c>
      <c r="W38" s="7">
        <v>3</v>
      </c>
      <c r="X38" s="7">
        <v>0</v>
      </c>
      <c r="Y38" s="7">
        <v>2</v>
      </c>
      <c r="Z38" s="7">
        <v>1</v>
      </c>
      <c r="AA38" s="7">
        <v>0</v>
      </c>
      <c r="AB38" s="7">
        <v>2</v>
      </c>
      <c r="AC38" s="7">
        <v>2</v>
      </c>
      <c r="AD38" s="7">
        <v>3</v>
      </c>
      <c r="AE38" s="7">
        <v>1</v>
      </c>
      <c r="AF38" s="7">
        <v>1</v>
      </c>
      <c r="AG38" s="9">
        <f t="shared" si="0"/>
        <v>44</v>
      </c>
      <c r="AH38" s="8" t="s">
        <v>65</v>
      </c>
    </row>
    <row r="39" spans="1:34" x14ac:dyDescent="0.35">
      <c r="A39" s="7">
        <v>37</v>
      </c>
      <c r="B39" s="8" t="s">
        <v>77</v>
      </c>
      <c r="C39" s="7">
        <v>2</v>
      </c>
      <c r="D39" s="7">
        <v>2</v>
      </c>
      <c r="E39" s="7">
        <v>1</v>
      </c>
      <c r="F39" s="7">
        <v>2</v>
      </c>
      <c r="G39" s="7">
        <v>3</v>
      </c>
      <c r="H39" s="7">
        <v>2</v>
      </c>
      <c r="I39" s="7">
        <v>2</v>
      </c>
      <c r="J39" s="7">
        <v>0</v>
      </c>
      <c r="K39" s="7">
        <v>3</v>
      </c>
      <c r="L39" s="7">
        <v>0</v>
      </c>
      <c r="M39" s="7">
        <v>1</v>
      </c>
      <c r="N39" s="7">
        <v>1</v>
      </c>
      <c r="O39" s="7">
        <v>3</v>
      </c>
      <c r="P39" s="7">
        <v>2</v>
      </c>
      <c r="Q39" s="7">
        <v>0</v>
      </c>
      <c r="R39" s="7">
        <v>3</v>
      </c>
      <c r="S39" s="7">
        <v>0</v>
      </c>
      <c r="T39" s="7">
        <v>2</v>
      </c>
      <c r="U39" s="7">
        <v>0</v>
      </c>
      <c r="V39" s="7">
        <v>3</v>
      </c>
      <c r="W39" s="7">
        <v>2</v>
      </c>
      <c r="X39" s="7">
        <v>2</v>
      </c>
      <c r="Y39" s="7">
        <v>3</v>
      </c>
      <c r="Z39" s="7">
        <v>2</v>
      </c>
      <c r="AA39" s="7">
        <v>0</v>
      </c>
      <c r="AB39" s="7">
        <v>1</v>
      </c>
      <c r="AC39" s="7">
        <v>3</v>
      </c>
      <c r="AD39" s="7">
        <v>0</v>
      </c>
      <c r="AE39" s="7">
        <v>2</v>
      </c>
      <c r="AF39" s="7">
        <v>1</v>
      </c>
      <c r="AG39" s="9">
        <f t="shared" si="0"/>
        <v>48</v>
      </c>
      <c r="AH39" s="8" t="s">
        <v>39</v>
      </c>
    </row>
    <row r="40" spans="1:34" x14ac:dyDescent="0.35">
      <c r="A40" s="7">
        <v>38</v>
      </c>
      <c r="B40" s="8" t="s">
        <v>78</v>
      </c>
      <c r="C40" s="7">
        <v>0</v>
      </c>
      <c r="D40" s="7">
        <v>3</v>
      </c>
      <c r="E40" s="7">
        <v>2</v>
      </c>
      <c r="F40" s="7">
        <v>3</v>
      </c>
      <c r="G40" s="7">
        <v>0</v>
      </c>
      <c r="H40" s="7">
        <v>1</v>
      </c>
      <c r="I40" s="7">
        <v>0</v>
      </c>
      <c r="J40" s="7">
        <v>0</v>
      </c>
      <c r="K40" s="7">
        <v>2</v>
      </c>
      <c r="L40" s="7">
        <v>3</v>
      </c>
      <c r="M40" s="7">
        <v>0</v>
      </c>
      <c r="N40" s="7">
        <v>0</v>
      </c>
      <c r="O40" s="7">
        <v>1</v>
      </c>
      <c r="P40" s="7">
        <v>1</v>
      </c>
      <c r="Q40" s="7">
        <v>3</v>
      </c>
      <c r="R40" s="7">
        <v>3</v>
      </c>
      <c r="S40" s="7">
        <v>2</v>
      </c>
      <c r="T40" s="7">
        <v>3</v>
      </c>
      <c r="U40" s="7">
        <v>1</v>
      </c>
      <c r="V40" s="7">
        <v>3</v>
      </c>
      <c r="W40" s="7">
        <v>0</v>
      </c>
      <c r="X40" s="7">
        <v>3</v>
      </c>
      <c r="Y40" s="7">
        <v>3</v>
      </c>
      <c r="Z40" s="7">
        <v>2</v>
      </c>
      <c r="AA40" s="7">
        <v>0</v>
      </c>
      <c r="AB40" s="7">
        <v>2</v>
      </c>
      <c r="AC40" s="7">
        <v>1</v>
      </c>
      <c r="AD40" s="7">
        <v>3</v>
      </c>
      <c r="AE40" s="7">
        <v>3</v>
      </c>
      <c r="AF40" s="7">
        <v>1</v>
      </c>
      <c r="AG40" s="9">
        <f t="shared" si="0"/>
        <v>49</v>
      </c>
      <c r="AH40" s="8"/>
    </row>
    <row r="41" spans="1:34" x14ac:dyDescent="0.35">
      <c r="A41" s="7">
        <v>39</v>
      </c>
      <c r="B41" s="8" t="s">
        <v>79</v>
      </c>
      <c r="C41" s="7">
        <v>2</v>
      </c>
      <c r="D41" s="7">
        <v>0</v>
      </c>
      <c r="E41" s="7">
        <v>2</v>
      </c>
      <c r="F41" s="7">
        <v>2</v>
      </c>
      <c r="G41" s="7">
        <v>0</v>
      </c>
      <c r="H41" s="7">
        <v>3</v>
      </c>
      <c r="I41" s="7">
        <v>2</v>
      </c>
      <c r="J41" s="7">
        <v>1</v>
      </c>
      <c r="K41" s="7">
        <v>0</v>
      </c>
      <c r="L41" s="7">
        <v>3</v>
      </c>
      <c r="M41" s="7">
        <v>0</v>
      </c>
      <c r="N41" s="7">
        <v>1</v>
      </c>
      <c r="O41" s="7">
        <v>0</v>
      </c>
      <c r="P41" s="7">
        <v>0</v>
      </c>
      <c r="Q41" s="7">
        <v>2</v>
      </c>
      <c r="R41" s="7">
        <v>1</v>
      </c>
      <c r="S41" s="7">
        <v>1</v>
      </c>
      <c r="T41" s="7">
        <v>1</v>
      </c>
      <c r="U41" s="7">
        <v>0</v>
      </c>
      <c r="V41" s="7">
        <v>1</v>
      </c>
      <c r="W41" s="7">
        <v>1</v>
      </c>
      <c r="X41" s="7">
        <v>1</v>
      </c>
      <c r="Y41" s="7">
        <v>2</v>
      </c>
      <c r="Z41" s="7">
        <v>1</v>
      </c>
      <c r="AA41" s="7">
        <v>0</v>
      </c>
      <c r="AB41" s="7">
        <v>2</v>
      </c>
      <c r="AC41" s="7">
        <v>1</v>
      </c>
      <c r="AD41" s="7">
        <v>1</v>
      </c>
      <c r="AE41" s="7">
        <v>2</v>
      </c>
      <c r="AF41" s="7">
        <v>1</v>
      </c>
      <c r="AG41" s="9">
        <f t="shared" si="0"/>
        <v>34</v>
      </c>
      <c r="AH41" s="8" t="s">
        <v>60</v>
      </c>
    </row>
    <row r="42" spans="1:34" x14ac:dyDescent="0.35">
      <c r="A42" s="7">
        <v>40</v>
      </c>
      <c r="B42" s="8" t="s">
        <v>80</v>
      </c>
      <c r="C42" s="7">
        <v>0</v>
      </c>
      <c r="D42" s="7">
        <v>1</v>
      </c>
      <c r="E42" s="7">
        <v>0</v>
      </c>
      <c r="F42" s="7">
        <v>2</v>
      </c>
      <c r="G42" s="7">
        <v>1</v>
      </c>
      <c r="H42" s="7">
        <v>2</v>
      </c>
      <c r="I42" s="7">
        <v>0</v>
      </c>
      <c r="J42" s="7">
        <v>1</v>
      </c>
      <c r="K42" s="7">
        <v>2</v>
      </c>
      <c r="L42" s="7">
        <v>0</v>
      </c>
      <c r="M42" s="7">
        <v>1</v>
      </c>
      <c r="N42" s="7">
        <v>3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9">
        <f t="shared" si="0"/>
        <v>13</v>
      </c>
      <c r="AH42" s="8" t="s">
        <v>39</v>
      </c>
    </row>
  </sheetData>
  <mergeCells count="1">
    <mergeCell ref="A1:AH1"/>
  </mergeCells>
  <conditionalFormatting sqref="C3:AF42">
    <cfRule type="cellIs" dxfId="48" priority="2" operator="greaterThanOrEqual">
      <formula>5</formula>
    </cfRule>
    <cfRule type="cellIs" dxfId="47" priority="3" operator="between">
      <formula>3</formula>
      <formula>4</formula>
    </cfRule>
    <cfRule type="cellIs" dxfId="46" priority="4" operator="between">
      <formula>1</formula>
      <formula>2</formula>
    </cfRule>
    <cfRule type="cellIs" dxfId="45" priority="5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tabSelected="1" zoomScaleNormal="100" workbookViewId="0">
      <pane xSplit="2" ySplit="2" topLeftCell="C24" activePane="bottomRight" state="frozen"/>
      <selection pane="topRight" activeCell="C1" sqref="C1"/>
      <selection pane="bottomLeft" activeCell="A3" sqref="A3"/>
      <selection pane="bottomRight" sqref="A1:I1"/>
    </sheetView>
  </sheetViews>
  <sheetFormatPr defaultColWidth="8.6328125" defaultRowHeight="14.5" x14ac:dyDescent="0.35"/>
  <cols>
    <col min="1" max="1" width="28.7265625" customWidth="1"/>
    <col min="2" max="2" width="22" customWidth="1"/>
    <col min="3" max="4" width="14" customWidth="1"/>
    <col min="5" max="5" width="20.6328125" customWidth="1"/>
    <col min="6" max="6" width="12" customWidth="1"/>
    <col min="7" max="7" width="16" customWidth="1"/>
    <col min="8" max="8" width="14" customWidth="1"/>
    <col min="9" max="9" width="22" customWidth="1"/>
  </cols>
  <sheetData>
    <row r="1" spans="1:9" ht="34.5" customHeight="1" x14ac:dyDescent="0.35">
      <c r="A1" s="5" t="s">
        <v>81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35">
      <c r="A2" s="6" t="s">
        <v>82</v>
      </c>
      <c r="B2" s="6" t="s">
        <v>2</v>
      </c>
      <c r="C2" s="6" t="s">
        <v>83</v>
      </c>
      <c r="D2" s="6" t="s">
        <v>84</v>
      </c>
      <c r="E2" s="6" t="s">
        <v>85</v>
      </c>
      <c r="F2" s="6" t="s">
        <v>86</v>
      </c>
      <c r="G2" s="6" t="s">
        <v>87</v>
      </c>
      <c r="H2" s="6" t="s">
        <v>88</v>
      </c>
      <c r="I2" s="6" t="s">
        <v>89</v>
      </c>
    </row>
    <row r="3" spans="1:9" x14ac:dyDescent="0.35">
      <c r="A3" s="7">
        <f t="shared" ref="A3:A42" si="0">ROW()-2</f>
        <v>1</v>
      </c>
      <c r="B3" s="10" t="str">
        <f>'Theo dõi Ngày'!B3</f>
        <v>Lê Văn C</v>
      </c>
      <c r="C3" s="11">
        <f>'Theo dõi Ngày'!AG3</f>
        <v>165</v>
      </c>
      <c r="D3" s="7">
        <f t="shared" ref="D3:D42" si="1">C3/30</f>
        <v>5.5</v>
      </c>
      <c r="E3" s="7">
        <f>COUNTIF('Theo dõi Ngày'!C3:AF3,"&gt;=5")</f>
        <v>16</v>
      </c>
      <c r="F3" s="7" t="str">
        <f t="shared" ref="F3:F42" si="2">IF(D3&gt;=4,"Tầng 1",IF(D3&gt;=2,"Tầng 2","Tầng 3"))</f>
        <v>Tầng 1</v>
      </c>
      <c r="G3" s="7" t="str">
        <f t="shared" ref="G3:G42" si="3">IF(F3="Tầng 1","Khen thưởng",IF(F3="Tầng 2","Can thiệp nhóm","Can thiệp cá nhân"))</f>
        <v>Khen thưởng</v>
      </c>
      <c r="H3" s="7" t="str">
        <f t="shared" ref="H3:H42" si="4">IF(C3&gt;=151,"Huyền thoại",IF(C3&gt;=101,"Anh hùng",IF(C3&gt;=51,"Chiến binh","Người mới")))</f>
        <v>Huyền thoại</v>
      </c>
      <c r="I3" s="12" t="str">
        <f t="shared" ref="I3:I42" si="5">IF(D3&lt;2,"⚠️ CẦN CAN THIỆP NGAY","")</f>
        <v/>
      </c>
    </row>
    <row r="4" spans="1:9" x14ac:dyDescent="0.35">
      <c r="A4" s="7">
        <f t="shared" si="0"/>
        <v>2</v>
      </c>
      <c r="B4" s="10" t="str">
        <f>'Theo dõi Ngày'!B4</f>
        <v>Nguyễn Văn A</v>
      </c>
      <c r="C4" s="11">
        <f>'Theo dõi Ngày'!AG4</f>
        <v>151</v>
      </c>
      <c r="D4" s="7">
        <f t="shared" si="1"/>
        <v>5.0333333333333332</v>
      </c>
      <c r="E4" s="7">
        <f>COUNTIF('Theo dõi Ngày'!C4:AF4,"&gt;=5")</f>
        <v>19</v>
      </c>
      <c r="F4" s="7" t="str">
        <f t="shared" si="2"/>
        <v>Tầng 1</v>
      </c>
      <c r="G4" s="7" t="str">
        <f t="shared" si="3"/>
        <v>Khen thưởng</v>
      </c>
      <c r="H4" s="7" t="str">
        <f t="shared" si="4"/>
        <v>Huyền thoại</v>
      </c>
      <c r="I4" s="12" t="str">
        <f t="shared" si="5"/>
        <v/>
      </c>
    </row>
    <row r="5" spans="1:9" x14ac:dyDescent="0.35">
      <c r="A5" s="7">
        <f t="shared" si="0"/>
        <v>3</v>
      </c>
      <c r="B5" s="10" t="str">
        <f>'Theo dõi Ngày'!B5</f>
        <v>Trần Minh D</v>
      </c>
      <c r="C5" s="11">
        <f>'Theo dõi Ngày'!AG5</f>
        <v>167</v>
      </c>
      <c r="D5" s="7">
        <f t="shared" si="1"/>
        <v>5.5666666666666664</v>
      </c>
      <c r="E5" s="7">
        <f>COUNTIF('Theo dõi Ngày'!C5:AF5,"&gt;=5")</f>
        <v>20</v>
      </c>
      <c r="F5" s="7" t="str">
        <f t="shared" si="2"/>
        <v>Tầng 1</v>
      </c>
      <c r="G5" s="7" t="str">
        <f t="shared" si="3"/>
        <v>Khen thưởng</v>
      </c>
      <c r="H5" s="7" t="str">
        <f t="shared" si="4"/>
        <v>Huyền thoại</v>
      </c>
      <c r="I5" s="12" t="str">
        <f t="shared" si="5"/>
        <v/>
      </c>
    </row>
    <row r="6" spans="1:9" x14ac:dyDescent="0.35">
      <c r="A6" s="7">
        <f t="shared" si="0"/>
        <v>4</v>
      </c>
      <c r="B6" s="10" t="str">
        <f>'Theo dõi Ngày'!B6</f>
        <v>Phạm Thị E</v>
      </c>
      <c r="C6" s="11">
        <f>'Theo dõi Ngày'!AG6</f>
        <v>169</v>
      </c>
      <c r="D6" s="7">
        <f t="shared" si="1"/>
        <v>5.6333333333333337</v>
      </c>
      <c r="E6" s="7">
        <f>COUNTIF('Theo dõi Ngày'!C6:AF6,"&gt;=5")</f>
        <v>20</v>
      </c>
      <c r="F6" s="7" t="str">
        <f t="shared" si="2"/>
        <v>Tầng 1</v>
      </c>
      <c r="G6" s="7" t="str">
        <f t="shared" si="3"/>
        <v>Khen thưởng</v>
      </c>
      <c r="H6" s="7" t="str">
        <f t="shared" si="4"/>
        <v>Huyền thoại</v>
      </c>
      <c r="I6" s="12" t="str">
        <f t="shared" si="5"/>
        <v/>
      </c>
    </row>
    <row r="7" spans="1:9" x14ac:dyDescent="0.35">
      <c r="A7" s="7">
        <f t="shared" si="0"/>
        <v>5</v>
      </c>
      <c r="B7" s="10" t="str">
        <f>'Theo dõi Ngày'!B7</f>
        <v>Hoàng Văn F</v>
      </c>
      <c r="C7" s="11">
        <f>'Theo dõi Ngày'!AG7</f>
        <v>165</v>
      </c>
      <c r="D7" s="7">
        <f t="shared" si="1"/>
        <v>5.5</v>
      </c>
      <c r="E7" s="7">
        <f>COUNTIF('Theo dõi Ngày'!C7:AF7,"&gt;=5")</f>
        <v>19</v>
      </c>
      <c r="F7" s="7" t="str">
        <f t="shared" si="2"/>
        <v>Tầng 1</v>
      </c>
      <c r="G7" s="7" t="str">
        <f t="shared" si="3"/>
        <v>Khen thưởng</v>
      </c>
      <c r="H7" s="7" t="str">
        <f t="shared" si="4"/>
        <v>Huyền thoại</v>
      </c>
      <c r="I7" s="12" t="str">
        <f t="shared" si="5"/>
        <v/>
      </c>
    </row>
    <row r="8" spans="1:9" x14ac:dyDescent="0.35">
      <c r="A8" s="7">
        <f t="shared" si="0"/>
        <v>6</v>
      </c>
      <c r="B8" s="10" t="str">
        <f>'Theo dõi Ngày'!B8</f>
        <v>Đỗ Thị G</v>
      </c>
      <c r="C8" s="11">
        <f>'Theo dõi Ngày'!AG8</f>
        <v>124</v>
      </c>
      <c r="D8" s="7">
        <f t="shared" si="1"/>
        <v>4.1333333333333337</v>
      </c>
      <c r="E8" s="7">
        <f>COUNTIF('Theo dõi Ngày'!C8:AF8,"&gt;=5")</f>
        <v>12</v>
      </c>
      <c r="F8" s="7" t="str">
        <f t="shared" si="2"/>
        <v>Tầng 1</v>
      </c>
      <c r="G8" s="7" t="str">
        <f t="shared" si="3"/>
        <v>Khen thưởng</v>
      </c>
      <c r="H8" s="7" t="str">
        <f t="shared" si="4"/>
        <v>Anh hùng</v>
      </c>
      <c r="I8" s="12" t="str">
        <f t="shared" si="5"/>
        <v/>
      </c>
    </row>
    <row r="9" spans="1:9" x14ac:dyDescent="0.35">
      <c r="A9" s="7">
        <f t="shared" si="0"/>
        <v>7</v>
      </c>
      <c r="B9" s="10" t="str">
        <f>'Theo dõi Ngày'!B9</f>
        <v>Vũ Văn H</v>
      </c>
      <c r="C9" s="11">
        <f>'Theo dõi Ngày'!AG9</f>
        <v>118</v>
      </c>
      <c r="D9" s="7">
        <f t="shared" si="1"/>
        <v>3.9333333333333331</v>
      </c>
      <c r="E9" s="7">
        <f>COUNTIF('Theo dõi Ngày'!C9:AF9,"&gt;=5")</f>
        <v>11</v>
      </c>
      <c r="F9" s="7" t="str">
        <f t="shared" si="2"/>
        <v>Tầng 2</v>
      </c>
      <c r="G9" s="7" t="str">
        <f t="shared" si="3"/>
        <v>Can thiệp nhóm</v>
      </c>
      <c r="H9" s="7" t="str">
        <f t="shared" si="4"/>
        <v>Anh hùng</v>
      </c>
      <c r="I9" s="12" t="str">
        <f t="shared" si="5"/>
        <v/>
      </c>
    </row>
    <row r="10" spans="1:9" x14ac:dyDescent="0.35">
      <c r="A10" s="7">
        <f t="shared" si="0"/>
        <v>8</v>
      </c>
      <c r="B10" s="10" t="str">
        <f>'Theo dõi Ngày'!B10</f>
        <v>Bùi Thị I</v>
      </c>
      <c r="C10" s="11">
        <f>'Theo dõi Ngày'!AG10</f>
        <v>112</v>
      </c>
      <c r="D10" s="7">
        <f t="shared" si="1"/>
        <v>3.7333333333333334</v>
      </c>
      <c r="E10" s="7">
        <f>COUNTIF('Theo dõi Ngày'!C10:AF10,"&gt;=5")</f>
        <v>10</v>
      </c>
      <c r="F10" s="7" t="str">
        <f t="shared" si="2"/>
        <v>Tầng 2</v>
      </c>
      <c r="G10" s="7" t="str">
        <f t="shared" si="3"/>
        <v>Can thiệp nhóm</v>
      </c>
      <c r="H10" s="7" t="str">
        <f t="shared" si="4"/>
        <v>Anh hùng</v>
      </c>
      <c r="I10" s="12" t="str">
        <f t="shared" si="5"/>
        <v/>
      </c>
    </row>
    <row r="11" spans="1:9" x14ac:dyDescent="0.35">
      <c r="A11" s="7">
        <f t="shared" si="0"/>
        <v>9</v>
      </c>
      <c r="B11" s="10" t="str">
        <f>'Theo dõi Ngày'!B11</f>
        <v>Ngô Văn K</v>
      </c>
      <c r="C11" s="11">
        <f>'Theo dõi Ngày'!AG11</f>
        <v>111</v>
      </c>
      <c r="D11" s="7">
        <f t="shared" si="1"/>
        <v>3.7</v>
      </c>
      <c r="E11" s="7">
        <f>COUNTIF('Theo dõi Ngày'!C11:AF11,"&gt;=5")</f>
        <v>12</v>
      </c>
      <c r="F11" s="7" t="str">
        <f t="shared" si="2"/>
        <v>Tầng 2</v>
      </c>
      <c r="G11" s="7" t="str">
        <f t="shared" si="3"/>
        <v>Can thiệp nhóm</v>
      </c>
      <c r="H11" s="7" t="str">
        <f t="shared" si="4"/>
        <v>Anh hùng</v>
      </c>
      <c r="I11" s="12" t="str">
        <f t="shared" si="5"/>
        <v/>
      </c>
    </row>
    <row r="12" spans="1:9" x14ac:dyDescent="0.35">
      <c r="A12" s="7">
        <f t="shared" si="0"/>
        <v>10</v>
      </c>
      <c r="B12" s="10" t="str">
        <f>'Theo dõi Ngày'!B12</f>
        <v>Đặng Thị L</v>
      </c>
      <c r="C12" s="11">
        <f>'Theo dõi Ngày'!AG12</f>
        <v>116</v>
      </c>
      <c r="D12" s="7">
        <f t="shared" si="1"/>
        <v>3.8666666666666667</v>
      </c>
      <c r="E12" s="7">
        <f>COUNTIF('Theo dõi Ngày'!C12:AF12,"&gt;=5")</f>
        <v>13</v>
      </c>
      <c r="F12" s="7" t="str">
        <f t="shared" si="2"/>
        <v>Tầng 2</v>
      </c>
      <c r="G12" s="7" t="str">
        <f t="shared" si="3"/>
        <v>Can thiệp nhóm</v>
      </c>
      <c r="H12" s="7" t="str">
        <f t="shared" si="4"/>
        <v>Anh hùng</v>
      </c>
      <c r="I12" s="12" t="str">
        <f t="shared" si="5"/>
        <v/>
      </c>
    </row>
    <row r="13" spans="1:9" x14ac:dyDescent="0.35">
      <c r="A13" s="7">
        <f t="shared" si="0"/>
        <v>11</v>
      </c>
      <c r="B13" s="10" t="str">
        <f>'Theo dõi Ngày'!B13</f>
        <v>Lý Văn M</v>
      </c>
      <c r="C13" s="11">
        <f>'Theo dõi Ngày'!AG13</f>
        <v>123</v>
      </c>
      <c r="D13" s="7">
        <f t="shared" si="1"/>
        <v>4.0999999999999996</v>
      </c>
      <c r="E13" s="7">
        <f>COUNTIF('Theo dõi Ngày'!C13:AF13,"&gt;=5")</f>
        <v>15</v>
      </c>
      <c r="F13" s="7" t="str">
        <f t="shared" si="2"/>
        <v>Tầng 1</v>
      </c>
      <c r="G13" s="7" t="str">
        <f t="shared" si="3"/>
        <v>Khen thưởng</v>
      </c>
      <c r="H13" s="7" t="str">
        <f t="shared" si="4"/>
        <v>Anh hùng</v>
      </c>
      <c r="I13" s="12" t="str">
        <f t="shared" si="5"/>
        <v/>
      </c>
    </row>
    <row r="14" spans="1:9" x14ac:dyDescent="0.35">
      <c r="A14" s="7">
        <f t="shared" si="0"/>
        <v>12</v>
      </c>
      <c r="B14" s="10" t="str">
        <f>'Theo dõi Ngày'!B14</f>
        <v>Phan Thị N</v>
      </c>
      <c r="C14" s="11">
        <f>'Theo dõi Ngày'!AG14</f>
        <v>115</v>
      </c>
      <c r="D14" s="7">
        <f t="shared" si="1"/>
        <v>3.8333333333333335</v>
      </c>
      <c r="E14" s="7">
        <f>COUNTIF('Theo dõi Ngày'!C14:AF14,"&gt;=5")</f>
        <v>8</v>
      </c>
      <c r="F14" s="7" t="str">
        <f t="shared" si="2"/>
        <v>Tầng 2</v>
      </c>
      <c r="G14" s="7" t="str">
        <f t="shared" si="3"/>
        <v>Can thiệp nhóm</v>
      </c>
      <c r="H14" s="7" t="str">
        <f t="shared" si="4"/>
        <v>Anh hùng</v>
      </c>
      <c r="I14" s="12" t="str">
        <f t="shared" si="5"/>
        <v/>
      </c>
    </row>
    <row r="15" spans="1:9" x14ac:dyDescent="0.35">
      <c r="A15" s="7">
        <f t="shared" si="0"/>
        <v>13</v>
      </c>
      <c r="B15" s="10" t="str">
        <f>'Theo dõi Ngày'!B15</f>
        <v>Đinh Văn O</v>
      </c>
      <c r="C15" s="11">
        <f>'Theo dõi Ngày'!AG15</f>
        <v>116</v>
      </c>
      <c r="D15" s="7">
        <f t="shared" si="1"/>
        <v>3.8666666666666667</v>
      </c>
      <c r="E15" s="7">
        <f>COUNTIF('Theo dõi Ngày'!C15:AF15,"&gt;=5")</f>
        <v>9</v>
      </c>
      <c r="F15" s="7" t="str">
        <f t="shared" si="2"/>
        <v>Tầng 2</v>
      </c>
      <c r="G15" s="7" t="str">
        <f t="shared" si="3"/>
        <v>Can thiệp nhóm</v>
      </c>
      <c r="H15" s="7" t="str">
        <f t="shared" si="4"/>
        <v>Anh hùng</v>
      </c>
      <c r="I15" s="12" t="str">
        <f t="shared" si="5"/>
        <v/>
      </c>
    </row>
    <row r="16" spans="1:9" x14ac:dyDescent="0.35">
      <c r="A16" s="7">
        <f t="shared" si="0"/>
        <v>14</v>
      </c>
      <c r="B16" s="10" t="str">
        <f>'Theo dõi Ngày'!B16</f>
        <v>Hồ Thị P</v>
      </c>
      <c r="C16" s="11">
        <f>'Theo dõi Ngày'!AG16</f>
        <v>115</v>
      </c>
      <c r="D16" s="7">
        <f t="shared" si="1"/>
        <v>3.8333333333333335</v>
      </c>
      <c r="E16" s="7">
        <f>COUNTIF('Theo dõi Ngày'!C16:AF16,"&gt;=5")</f>
        <v>10</v>
      </c>
      <c r="F16" s="7" t="str">
        <f t="shared" si="2"/>
        <v>Tầng 2</v>
      </c>
      <c r="G16" s="7" t="str">
        <f t="shared" si="3"/>
        <v>Can thiệp nhóm</v>
      </c>
      <c r="H16" s="7" t="str">
        <f t="shared" si="4"/>
        <v>Anh hùng</v>
      </c>
      <c r="I16" s="12" t="str">
        <f t="shared" si="5"/>
        <v/>
      </c>
    </row>
    <row r="17" spans="1:9" x14ac:dyDescent="0.35">
      <c r="A17" s="7">
        <f t="shared" si="0"/>
        <v>15</v>
      </c>
      <c r="B17" s="10" t="str">
        <f>'Theo dõi Ngày'!B17</f>
        <v>Trần Thị B</v>
      </c>
      <c r="C17" s="11">
        <f>'Theo dõi Ngày'!AG17</f>
        <v>104</v>
      </c>
      <c r="D17" s="7">
        <f t="shared" si="1"/>
        <v>3.4666666666666668</v>
      </c>
      <c r="E17" s="7">
        <f>COUNTIF('Theo dõi Ngày'!C17:AF17,"&gt;=5")</f>
        <v>6</v>
      </c>
      <c r="F17" s="7" t="str">
        <f t="shared" si="2"/>
        <v>Tầng 2</v>
      </c>
      <c r="G17" s="7" t="str">
        <f t="shared" si="3"/>
        <v>Can thiệp nhóm</v>
      </c>
      <c r="H17" s="7" t="str">
        <f t="shared" si="4"/>
        <v>Anh hùng</v>
      </c>
      <c r="I17" s="12" t="str">
        <f t="shared" si="5"/>
        <v/>
      </c>
    </row>
    <row r="18" spans="1:9" x14ac:dyDescent="0.35">
      <c r="A18" s="7">
        <f t="shared" si="0"/>
        <v>16</v>
      </c>
      <c r="B18" s="10" t="str">
        <f>'Theo dõi Ngày'!B18</f>
        <v>Mai Văn Q</v>
      </c>
      <c r="C18" s="11">
        <f>'Theo dõi Ngày'!AG18</f>
        <v>126</v>
      </c>
      <c r="D18" s="7">
        <f t="shared" si="1"/>
        <v>4.2</v>
      </c>
      <c r="E18" s="7">
        <f>COUNTIF('Theo dõi Ngày'!C18:AF18,"&gt;=5")</f>
        <v>14</v>
      </c>
      <c r="F18" s="7" t="str">
        <f t="shared" si="2"/>
        <v>Tầng 1</v>
      </c>
      <c r="G18" s="7" t="str">
        <f t="shared" si="3"/>
        <v>Khen thưởng</v>
      </c>
      <c r="H18" s="7" t="str">
        <f t="shared" si="4"/>
        <v>Anh hùng</v>
      </c>
      <c r="I18" s="12" t="str">
        <f t="shared" si="5"/>
        <v/>
      </c>
    </row>
    <row r="19" spans="1:9" x14ac:dyDescent="0.35">
      <c r="A19" s="7">
        <f t="shared" si="0"/>
        <v>17</v>
      </c>
      <c r="B19" s="10" t="str">
        <f>'Theo dõi Ngày'!B19</f>
        <v>Dương Thị R</v>
      </c>
      <c r="C19" s="11">
        <f>'Theo dõi Ngày'!AG19</f>
        <v>123</v>
      </c>
      <c r="D19" s="7">
        <f t="shared" si="1"/>
        <v>4.0999999999999996</v>
      </c>
      <c r="E19" s="7">
        <f>COUNTIF('Theo dõi Ngày'!C19:AF19,"&gt;=5")</f>
        <v>5</v>
      </c>
      <c r="F19" s="7" t="str">
        <f t="shared" si="2"/>
        <v>Tầng 1</v>
      </c>
      <c r="G19" s="7" t="str">
        <f t="shared" si="3"/>
        <v>Khen thưởng</v>
      </c>
      <c r="H19" s="7" t="str">
        <f t="shared" si="4"/>
        <v>Anh hùng</v>
      </c>
      <c r="I19" s="12" t="str">
        <f t="shared" si="5"/>
        <v/>
      </c>
    </row>
    <row r="20" spans="1:9" x14ac:dyDescent="0.35">
      <c r="A20" s="7">
        <f t="shared" si="0"/>
        <v>18</v>
      </c>
      <c r="B20" s="10" t="str">
        <f>'Theo dõi Ngày'!B20</f>
        <v>Tô Văn S</v>
      </c>
      <c r="C20" s="11">
        <f>'Theo dõi Ngày'!AG20</f>
        <v>120</v>
      </c>
      <c r="D20" s="7">
        <f t="shared" si="1"/>
        <v>4</v>
      </c>
      <c r="E20" s="7">
        <f>COUNTIF('Theo dõi Ngày'!C20:AF20,"&gt;=5")</f>
        <v>13</v>
      </c>
      <c r="F20" s="7" t="str">
        <f t="shared" si="2"/>
        <v>Tầng 1</v>
      </c>
      <c r="G20" s="7" t="str">
        <f t="shared" si="3"/>
        <v>Khen thưởng</v>
      </c>
      <c r="H20" s="7" t="str">
        <f t="shared" si="4"/>
        <v>Anh hùng</v>
      </c>
      <c r="I20" s="12" t="str">
        <f t="shared" si="5"/>
        <v/>
      </c>
    </row>
    <row r="21" spans="1:9" x14ac:dyDescent="0.35">
      <c r="A21" s="7">
        <f t="shared" si="0"/>
        <v>19</v>
      </c>
      <c r="B21" s="10" t="str">
        <f>'Theo dõi Ngày'!B21</f>
        <v>Châu Thị T</v>
      </c>
      <c r="C21" s="11">
        <f>'Theo dõi Ngày'!AG21</f>
        <v>131</v>
      </c>
      <c r="D21" s="7">
        <f t="shared" si="1"/>
        <v>4.3666666666666663</v>
      </c>
      <c r="E21" s="7">
        <f>COUNTIF('Theo dõi Ngày'!C21:AF21,"&gt;=5")</f>
        <v>18</v>
      </c>
      <c r="F21" s="7" t="str">
        <f t="shared" si="2"/>
        <v>Tầng 1</v>
      </c>
      <c r="G21" s="7" t="str">
        <f t="shared" si="3"/>
        <v>Khen thưởng</v>
      </c>
      <c r="H21" s="7" t="str">
        <f t="shared" si="4"/>
        <v>Anh hùng</v>
      </c>
      <c r="I21" s="12" t="str">
        <f t="shared" si="5"/>
        <v/>
      </c>
    </row>
    <row r="22" spans="1:9" x14ac:dyDescent="0.35">
      <c r="A22" s="7">
        <f t="shared" si="0"/>
        <v>20</v>
      </c>
      <c r="B22" s="10" t="str">
        <f>'Theo dõi Ngày'!B22</f>
        <v>Lâm Văn U</v>
      </c>
      <c r="C22" s="11">
        <f>'Theo dõi Ngày'!AG22</f>
        <v>116</v>
      </c>
      <c r="D22" s="7">
        <f t="shared" si="1"/>
        <v>3.8666666666666667</v>
      </c>
      <c r="E22" s="7">
        <f>COUNTIF('Theo dõi Ngày'!C22:AF22,"&gt;=5")</f>
        <v>10</v>
      </c>
      <c r="F22" s="7" t="str">
        <f t="shared" si="2"/>
        <v>Tầng 2</v>
      </c>
      <c r="G22" s="7" t="str">
        <f t="shared" si="3"/>
        <v>Can thiệp nhóm</v>
      </c>
      <c r="H22" s="7" t="str">
        <f t="shared" si="4"/>
        <v>Anh hùng</v>
      </c>
      <c r="I22" s="12" t="str">
        <f t="shared" si="5"/>
        <v/>
      </c>
    </row>
    <row r="23" spans="1:9" x14ac:dyDescent="0.35">
      <c r="A23" s="7">
        <f t="shared" si="0"/>
        <v>21</v>
      </c>
      <c r="B23" s="10" t="str">
        <f>'Theo dõi Ngày'!B23</f>
        <v>Cao Thị V</v>
      </c>
      <c r="C23" s="11">
        <f>'Theo dõi Ngày'!AG23</f>
        <v>136</v>
      </c>
      <c r="D23" s="7">
        <f t="shared" si="1"/>
        <v>4.5333333333333332</v>
      </c>
      <c r="E23" s="7">
        <f>COUNTIF('Theo dõi Ngày'!C23:AF23,"&gt;=5")</f>
        <v>19</v>
      </c>
      <c r="F23" s="7" t="str">
        <f t="shared" si="2"/>
        <v>Tầng 1</v>
      </c>
      <c r="G23" s="7" t="str">
        <f t="shared" si="3"/>
        <v>Khen thưởng</v>
      </c>
      <c r="H23" s="7" t="str">
        <f t="shared" si="4"/>
        <v>Anh hùng</v>
      </c>
      <c r="I23" s="12" t="str">
        <f t="shared" si="5"/>
        <v/>
      </c>
    </row>
    <row r="24" spans="1:9" x14ac:dyDescent="0.35">
      <c r="A24" s="7">
        <f t="shared" si="0"/>
        <v>22</v>
      </c>
      <c r="B24" s="10" t="str">
        <f>'Theo dõi Ngày'!B24</f>
        <v>Trịnh Văn W</v>
      </c>
      <c r="C24" s="11">
        <f>'Theo dõi Ngày'!AG24</f>
        <v>114</v>
      </c>
      <c r="D24" s="7">
        <f t="shared" si="1"/>
        <v>3.8</v>
      </c>
      <c r="E24" s="7">
        <f>COUNTIF('Theo dõi Ngày'!C24:AF24,"&gt;=5")</f>
        <v>11</v>
      </c>
      <c r="F24" s="7" t="str">
        <f t="shared" si="2"/>
        <v>Tầng 2</v>
      </c>
      <c r="G24" s="7" t="str">
        <f t="shared" si="3"/>
        <v>Can thiệp nhóm</v>
      </c>
      <c r="H24" s="7" t="str">
        <f t="shared" si="4"/>
        <v>Anh hùng</v>
      </c>
      <c r="I24" s="12" t="str">
        <f t="shared" si="5"/>
        <v/>
      </c>
    </row>
    <row r="25" spans="1:9" x14ac:dyDescent="0.35">
      <c r="A25" s="7">
        <f t="shared" si="0"/>
        <v>23</v>
      </c>
      <c r="B25" s="10" t="str">
        <f>'Theo dõi Ngày'!B25</f>
        <v>Từ Thị X</v>
      </c>
      <c r="C25" s="11">
        <f>'Theo dõi Ngày'!AG25</f>
        <v>113</v>
      </c>
      <c r="D25" s="7">
        <f t="shared" si="1"/>
        <v>3.7666666666666666</v>
      </c>
      <c r="E25" s="7">
        <f>COUNTIF('Theo dõi Ngày'!C25:AF25,"&gt;=5")</f>
        <v>10</v>
      </c>
      <c r="F25" s="7" t="str">
        <f t="shared" si="2"/>
        <v>Tầng 2</v>
      </c>
      <c r="G25" s="7" t="str">
        <f t="shared" si="3"/>
        <v>Can thiệp nhóm</v>
      </c>
      <c r="H25" s="7" t="str">
        <f t="shared" si="4"/>
        <v>Anh hùng</v>
      </c>
      <c r="I25" s="12" t="str">
        <f t="shared" si="5"/>
        <v/>
      </c>
    </row>
    <row r="26" spans="1:9" x14ac:dyDescent="0.35">
      <c r="A26" s="7">
        <f t="shared" si="0"/>
        <v>24</v>
      </c>
      <c r="B26" s="10" t="str">
        <f>'Theo dõi Ngày'!B26</f>
        <v>Huỳnh Văn Y</v>
      </c>
      <c r="C26" s="11">
        <f>'Theo dõi Ngày'!AG26</f>
        <v>127</v>
      </c>
      <c r="D26" s="7">
        <f t="shared" si="1"/>
        <v>4.2333333333333334</v>
      </c>
      <c r="E26" s="7">
        <f>COUNTIF('Theo dõi Ngày'!C26:AF26,"&gt;=5")</f>
        <v>15</v>
      </c>
      <c r="F26" s="7" t="str">
        <f t="shared" si="2"/>
        <v>Tầng 1</v>
      </c>
      <c r="G26" s="7" t="str">
        <f t="shared" si="3"/>
        <v>Khen thưởng</v>
      </c>
      <c r="H26" s="7" t="str">
        <f t="shared" si="4"/>
        <v>Anh hùng</v>
      </c>
      <c r="I26" s="12" t="str">
        <f t="shared" si="5"/>
        <v/>
      </c>
    </row>
    <row r="27" spans="1:9" x14ac:dyDescent="0.35">
      <c r="A27" s="7">
        <f t="shared" si="0"/>
        <v>25</v>
      </c>
      <c r="B27" s="10" t="str">
        <f>'Theo dõi Ngày'!B27</f>
        <v>Võ Thị Z</v>
      </c>
      <c r="C27" s="11">
        <f>'Theo dõi Ngày'!AG27</f>
        <v>124</v>
      </c>
      <c r="D27" s="7">
        <f t="shared" si="1"/>
        <v>4.1333333333333337</v>
      </c>
      <c r="E27" s="7">
        <f>COUNTIF('Theo dõi Ngày'!C27:AF27,"&gt;=5")</f>
        <v>11</v>
      </c>
      <c r="F27" s="7" t="str">
        <f t="shared" si="2"/>
        <v>Tầng 1</v>
      </c>
      <c r="G27" s="7" t="str">
        <f t="shared" si="3"/>
        <v>Khen thưởng</v>
      </c>
      <c r="H27" s="7" t="str">
        <f t="shared" si="4"/>
        <v>Anh hùng</v>
      </c>
      <c r="I27" s="12" t="str">
        <f t="shared" si="5"/>
        <v/>
      </c>
    </row>
    <row r="28" spans="1:9" x14ac:dyDescent="0.35">
      <c r="A28" s="7">
        <f t="shared" si="0"/>
        <v>26</v>
      </c>
      <c r="B28" s="10" t="str">
        <f>'Theo dõi Ngày'!B28</f>
        <v>Nguyễn Minh AA</v>
      </c>
      <c r="C28" s="11">
        <f>'Theo dõi Ngày'!AG28</f>
        <v>84</v>
      </c>
      <c r="D28" s="7">
        <f t="shared" si="1"/>
        <v>2.8</v>
      </c>
      <c r="E28" s="7">
        <f>COUNTIF('Theo dõi Ngày'!C28:AF28,"&gt;=5")</f>
        <v>0</v>
      </c>
      <c r="F28" s="7" t="str">
        <f t="shared" si="2"/>
        <v>Tầng 2</v>
      </c>
      <c r="G28" s="7" t="str">
        <f t="shared" si="3"/>
        <v>Can thiệp nhóm</v>
      </c>
      <c r="H28" s="7" t="str">
        <f t="shared" si="4"/>
        <v>Chiến binh</v>
      </c>
      <c r="I28" s="12" t="str">
        <f t="shared" si="5"/>
        <v/>
      </c>
    </row>
    <row r="29" spans="1:9" x14ac:dyDescent="0.35">
      <c r="A29" s="7">
        <f t="shared" si="0"/>
        <v>27</v>
      </c>
      <c r="B29" s="10" t="str">
        <f>'Theo dõi Ngày'!B29</f>
        <v>Trần Văn AB</v>
      </c>
      <c r="C29" s="11">
        <f>'Theo dõi Ngày'!AG29</f>
        <v>74</v>
      </c>
      <c r="D29" s="7">
        <f t="shared" si="1"/>
        <v>2.4666666666666668</v>
      </c>
      <c r="E29" s="7">
        <f>COUNTIF('Theo dõi Ngày'!C29:AF29,"&gt;=5")</f>
        <v>0</v>
      </c>
      <c r="F29" s="7" t="str">
        <f t="shared" si="2"/>
        <v>Tầng 2</v>
      </c>
      <c r="G29" s="7" t="str">
        <f t="shared" si="3"/>
        <v>Can thiệp nhóm</v>
      </c>
      <c r="H29" s="7" t="str">
        <f t="shared" si="4"/>
        <v>Chiến binh</v>
      </c>
      <c r="I29" s="12" t="str">
        <f t="shared" si="5"/>
        <v/>
      </c>
    </row>
    <row r="30" spans="1:9" x14ac:dyDescent="0.35">
      <c r="A30" s="7">
        <f t="shared" si="0"/>
        <v>28</v>
      </c>
      <c r="B30" s="10" t="str">
        <f>'Theo dõi Ngày'!B30</f>
        <v>Lê Thị AC</v>
      </c>
      <c r="C30" s="11">
        <f>'Theo dõi Ngày'!AG30</f>
        <v>69</v>
      </c>
      <c r="D30" s="7">
        <f t="shared" si="1"/>
        <v>2.2999999999999998</v>
      </c>
      <c r="E30" s="7">
        <f>COUNTIF('Theo dõi Ngày'!C30:AF30,"&gt;=5")</f>
        <v>0</v>
      </c>
      <c r="F30" s="7" t="str">
        <f t="shared" si="2"/>
        <v>Tầng 2</v>
      </c>
      <c r="G30" s="7" t="str">
        <f t="shared" si="3"/>
        <v>Can thiệp nhóm</v>
      </c>
      <c r="H30" s="7" t="str">
        <f t="shared" si="4"/>
        <v>Chiến binh</v>
      </c>
      <c r="I30" s="12" t="str">
        <f t="shared" si="5"/>
        <v/>
      </c>
    </row>
    <row r="31" spans="1:9" x14ac:dyDescent="0.35">
      <c r="A31" s="7">
        <f t="shared" si="0"/>
        <v>29</v>
      </c>
      <c r="B31" s="10" t="str">
        <f>'Theo dõi Ngày'!B31</f>
        <v>Phạm Văn AD</v>
      </c>
      <c r="C31" s="11">
        <f>'Theo dõi Ngày'!AG31</f>
        <v>79</v>
      </c>
      <c r="D31" s="7">
        <f t="shared" si="1"/>
        <v>2.6333333333333333</v>
      </c>
      <c r="E31" s="7">
        <f>COUNTIF('Theo dõi Ngày'!C31:AF31,"&gt;=5")</f>
        <v>0</v>
      </c>
      <c r="F31" s="7" t="str">
        <f t="shared" si="2"/>
        <v>Tầng 2</v>
      </c>
      <c r="G31" s="7" t="str">
        <f t="shared" si="3"/>
        <v>Can thiệp nhóm</v>
      </c>
      <c r="H31" s="7" t="str">
        <f t="shared" si="4"/>
        <v>Chiến binh</v>
      </c>
      <c r="I31" s="12" t="str">
        <f t="shared" si="5"/>
        <v/>
      </c>
    </row>
    <row r="32" spans="1:9" x14ac:dyDescent="0.35">
      <c r="A32" s="7">
        <f t="shared" si="0"/>
        <v>30</v>
      </c>
      <c r="B32" s="10" t="str">
        <f>'Theo dõi Ngày'!B32</f>
        <v>Hoàng Thị AE</v>
      </c>
      <c r="C32" s="11">
        <f>'Theo dõi Ngày'!AG32</f>
        <v>80</v>
      </c>
      <c r="D32" s="7">
        <f t="shared" si="1"/>
        <v>2.6666666666666665</v>
      </c>
      <c r="E32" s="7">
        <f>COUNTIF('Theo dõi Ngày'!C32:AF32,"&gt;=5")</f>
        <v>0</v>
      </c>
      <c r="F32" s="7" t="str">
        <f t="shared" si="2"/>
        <v>Tầng 2</v>
      </c>
      <c r="G32" s="7" t="str">
        <f t="shared" si="3"/>
        <v>Can thiệp nhóm</v>
      </c>
      <c r="H32" s="7" t="str">
        <f t="shared" si="4"/>
        <v>Chiến binh</v>
      </c>
      <c r="I32" s="12" t="str">
        <f t="shared" si="5"/>
        <v/>
      </c>
    </row>
    <row r="33" spans="1:9" x14ac:dyDescent="0.35">
      <c r="A33" s="7">
        <f t="shared" si="0"/>
        <v>31</v>
      </c>
      <c r="B33" s="10" t="str">
        <f>'Theo dõi Ngày'!B33</f>
        <v>Đỗ Văn AF</v>
      </c>
      <c r="C33" s="11">
        <f>'Theo dõi Ngày'!AG33</f>
        <v>79</v>
      </c>
      <c r="D33" s="7">
        <f t="shared" si="1"/>
        <v>2.6333333333333333</v>
      </c>
      <c r="E33" s="7">
        <f>COUNTIF('Theo dõi Ngày'!C33:AF33,"&gt;=5")</f>
        <v>0</v>
      </c>
      <c r="F33" s="7" t="str">
        <f t="shared" si="2"/>
        <v>Tầng 2</v>
      </c>
      <c r="G33" s="7" t="str">
        <f t="shared" si="3"/>
        <v>Can thiệp nhóm</v>
      </c>
      <c r="H33" s="7" t="str">
        <f t="shared" si="4"/>
        <v>Chiến binh</v>
      </c>
      <c r="I33" s="12" t="str">
        <f t="shared" si="5"/>
        <v/>
      </c>
    </row>
    <row r="34" spans="1:9" x14ac:dyDescent="0.35">
      <c r="A34" s="7">
        <f t="shared" si="0"/>
        <v>32</v>
      </c>
      <c r="B34" s="10" t="str">
        <f>'Theo dõi Ngày'!B34</f>
        <v>Vũ Thị AG</v>
      </c>
      <c r="C34" s="11">
        <f>'Theo dõi Ngày'!AG34</f>
        <v>81</v>
      </c>
      <c r="D34" s="7">
        <f t="shared" si="1"/>
        <v>2.7</v>
      </c>
      <c r="E34" s="7">
        <f>COUNTIF('Theo dõi Ngày'!C34:AF34,"&gt;=5")</f>
        <v>0</v>
      </c>
      <c r="F34" s="7" t="str">
        <f t="shared" si="2"/>
        <v>Tầng 2</v>
      </c>
      <c r="G34" s="7" t="str">
        <f t="shared" si="3"/>
        <v>Can thiệp nhóm</v>
      </c>
      <c r="H34" s="7" t="str">
        <f t="shared" si="4"/>
        <v>Chiến binh</v>
      </c>
      <c r="I34" s="12" t="str">
        <f t="shared" si="5"/>
        <v/>
      </c>
    </row>
    <row r="35" spans="1:9" x14ac:dyDescent="0.35">
      <c r="A35" s="7">
        <f t="shared" si="0"/>
        <v>33</v>
      </c>
      <c r="B35" s="10" t="str">
        <f>'Theo dõi Ngày'!B35</f>
        <v>Bùi Văn AH</v>
      </c>
      <c r="C35" s="11">
        <f>'Theo dõi Ngày'!AG35</f>
        <v>83</v>
      </c>
      <c r="D35" s="7">
        <f t="shared" si="1"/>
        <v>2.7666666666666666</v>
      </c>
      <c r="E35" s="7">
        <f>COUNTIF('Theo dõi Ngày'!C35:AF35,"&gt;=5")</f>
        <v>0</v>
      </c>
      <c r="F35" s="7" t="str">
        <f t="shared" si="2"/>
        <v>Tầng 2</v>
      </c>
      <c r="G35" s="7" t="str">
        <f t="shared" si="3"/>
        <v>Can thiệp nhóm</v>
      </c>
      <c r="H35" s="7" t="str">
        <f t="shared" si="4"/>
        <v>Chiến binh</v>
      </c>
      <c r="I35" s="12" t="str">
        <f t="shared" si="5"/>
        <v/>
      </c>
    </row>
    <row r="36" spans="1:9" x14ac:dyDescent="0.35">
      <c r="A36" s="7">
        <f t="shared" si="0"/>
        <v>34</v>
      </c>
      <c r="B36" s="10" t="str">
        <f>'Theo dõi Ngày'!B36</f>
        <v>Ngô Thị AI</v>
      </c>
      <c r="C36" s="11">
        <f>'Theo dõi Ngày'!AG36</f>
        <v>73</v>
      </c>
      <c r="D36" s="7">
        <f t="shared" si="1"/>
        <v>2.4333333333333331</v>
      </c>
      <c r="E36" s="7">
        <f>COUNTIF('Theo dõi Ngày'!C36:AF36,"&gt;=5")</f>
        <v>0</v>
      </c>
      <c r="F36" s="7" t="str">
        <f t="shared" si="2"/>
        <v>Tầng 2</v>
      </c>
      <c r="G36" s="7" t="str">
        <f t="shared" si="3"/>
        <v>Can thiệp nhóm</v>
      </c>
      <c r="H36" s="7" t="str">
        <f t="shared" si="4"/>
        <v>Chiến binh</v>
      </c>
      <c r="I36" s="12" t="str">
        <f t="shared" si="5"/>
        <v/>
      </c>
    </row>
    <row r="37" spans="1:9" x14ac:dyDescent="0.35">
      <c r="A37" s="7">
        <f t="shared" si="0"/>
        <v>35</v>
      </c>
      <c r="B37" s="10" t="str">
        <f>'Theo dõi Ngày'!B37</f>
        <v>Phạm Văn D</v>
      </c>
      <c r="C37" s="11">
        <f>'Theo dõi Ngày'!AG37</f>
        <v>104</v>
      </c>
      <c r="D37" s="7">
        <f t="shared" si="1"/>
        <v>3.4666666666666668</v>
      </c>
      <c r="E37" s="7">
        <f>COUNTIF('Theo dõi Ngày'!C37:AF37,"&gt;=5")</f>
        <v>0</v>
      </c>
      <c r="F37" s="7" t="str">
        <f t="shared" si="2"/>
        <v>Tầng 2</v>
      </c>
      <c r="G37" s="7" t="str">
        <f t="shared" si="3"/>
        <v>Can thiệp nhóm</v>
      </c>
      <c r="H37" s="7" t="str">
        <f t="shared" si="4"/>
        <v>Anh hùng</v>
      </c>
      <c r="I37" s="12" t="str">
        <f t="shared" si="5"/>
        <v/>
      </c>
    </row>
    <row r="38" spans="1:9" x14ac:dyDescent="0.35">
      <c r="A38" s="7">
        <f t="shared" si="0"/>
        <v>36</v>
      </c>
      <c r="B38" s="10" t="str">
        <f>'Theo dõi Ngày'!B38</f>
        <v>Đặng Văn AK</v>
      </c>
      <c r="C38" s="11">
        <f>'Theo dõi Ngày'!AG38</f>
        <v>44</v>
      </c>
      <c r="D38" s="7">
        <f t="shared" si="1"/>
        <v>1.4666666666666666</v>
      </c>
      <c r="E38" s="7">
        <f>COUNTIF('Theo dõi Ngày'!C38:AF38,"&gt;=5")</f>
        <v>0</v>
      </c>
      <c r="F38" s="7" t="str">
        <f t="shared" si="2"/>
        <v>Tầng 3</v>
      </c>
      <c r="G38" s="7" t="str">
        <f t="shared" si="3"/>
        <v>Can thiệp cá nhân</v>
      </c>
      <c r="H38" s="7" t="str">
        <f t="shared" si="4"/>
        <v>Người mới</v>
      </c>
      <c r="I38" s="12" t="str">
        <f t="shared" si="5"/>
        <v>⚠️ CẦN CAN THIỆP NGAY</v>
      </c>
    </row>
    <row r="39" spans="1:9" x14ac:dyDescent="0.35">
      <c r="A39" s="7">
        <f t="shared" si="0"/>
        <v>37</v>
      </c>
      <c r="B39" s="10" t="str">
        <f>'Theo dõi Ngày'!B39</f>
        <v>Lý Thị AL</v>
      </c>
      <c r="C39" s="11">
        <f>'Theo dõi Ngày'!AG39</f>
        <v>48</v>
      </c>
      <c r="D39" s="7">
        <f t="shared" si="1"/>
        <v>1.6</v>
      </c>
      <c r="E39" s="7">
        <f>COUNTIF('Theo dõi Ngày'!C39:AF39,"&gt;=5")</f>
        <v>0</v>
      </c>
      <c r="F39" s="7" t="str">
        <f t="shared" si="2"/>
        <v>Tầng 3</v>
      </c>
      <c r="G39" s="7" t="str">
        <f t="shared" si="3"/>
        <v>Can thiệp cá nhân</v>
      </c>
      <c r="H39" s="7" t="str">
        <f t="shared" si="4"/>
        <v>Người mới</v>
      </c>
      <c r="I39" s="12" t="str">
        <f t="shared" si="5"/>
        <v>⚠️ CẦN CAN THIỆP NGAY</v>
      </c>
    </row>
    <row r="40" spans="1:9" x14ac:dyDescent="0.35">
      <c r="A40" s="7">
        <f t="shared" si="0"/>
        <v>38</v>
      </c>
      <c r="B40" s="10" t="str">
        <f>'Theo dõi Ngày'!B40</f>
        <v>Phan Văn AM</v>
      </c>
      <c r="C40" s="11">
        <f>'Theo dõi Ngày'!AG40</f>
        <v>49</v>
      </c>
      <c r="D40" s="7">
        <f t="shared" si="1"/>
        <v>1.6333333333333333</v>
      </c>
      <c r="E40" s="7">
        <f>COUNTIF('Theo dõi Ngày'!C40:AF40,"&gt;=5")</f>
        <v>0</v>
      </c>
      <c r="F40" s="7" t="str">
        <f t="shared" si="2"/>
        <v>Tầng 3</v>
      </c>
      <c r="G40" s="7" t="str">
        <f t="shared" si="3"/>
        <v>Can thiệp cá nhân</v>
      </c>
      <c r="H40" s="7" t="str">
        <f t="shared" si="4"/>
        <v>Người mới</v>
      </c>
      <c r="I40" s="12" t="str">
        <f t="shared" si="5"/>
        <v>⚠️ CẦN CAN THIỆP NGAY</v>
      </c>
    </row>
    <row r="41" spans="1:9" x14ac:dyDescent="0.35">
      <c r="A41" s="7">
        <f t="shared" si="0"/>
        <v>39</v>
      </c>
      <c r="B41" s="10" t="str">
        <f>'Theo dõi Ngày'!B41</f>
        <v>Đinh Thị AN</v>
      </c>
      <c r="C41" s="11">
        <f>'Theo dõi Ngày'!AG41</f>
        <v>34</v>
      </c>
      <c r="D41" s="7">
        <f t="shared" si="1"/>
        <v>1.1333333333333333</v>
      </c>
      <c r="E41" s="7">
        <f>COUNTIF('Theo dõi Ngày'!C41:AF41,"&gt;=5")</f>
        <v>0</v>
      </c>
      <c r="F41" s="7" t="str">
        <f t="shared" si="2"/>
        <v>Tầng 3</v>
      </c>
      <c r="G41" s="7" t="str">
        <f t="shared" si="3"/>
        <v>Can thiệp cá nhân</v>
      </c>
      <c r="H41" s="7" t="str">
        <f t="shared" si="4"/>
        <v>Người mới</v>
      </c>
      <c r="I41" s="12" t="str">
        <f t="shared" si="5"/>
        <v>⚠️ CẦN CAN THIỆP NGAY</v>
      </c>
    </row>
    <row r="42" spans="1:9" x14ac:dyDescent="0.35">
      <c r="A42" s="7">
        <f t="shared" si="0"/>
        <v>40</v>
      </c>
      <c r="B42" s="10" t="str">
        <f>'Theo dõi Ngày'!B42</f>
        <v>Hồ Văn AO</v>
      </c>
      <c r="C42" s="11">
        <f>'Theo dõi Ngày'!AG42</f>
        <v>13</v>
      </c>
      <c r="D42" s="7">
        <f t="shared" si="1"/>
        <v>0.43333333333333335</v>
      </c>
      <c r="E42" s="7">
        <f>COUNTIF('Theo dõi Ngày'!C42:AF42,"&gt;=5")</f>
        <v>0</v>
      </c>
      <c r="F42" s="7" t="str">
        <f t="shared" si="2"/>
        <v>Tầng 3</v>
      </c>
      <c r="G42" s="7" t="str">
        <f t="shared" si="3"/>
        <v>Can thiệp cá nhân</v>
      </c>
      <c r="H42" s="7" t="str">
        <f t="shared" si="4"/>
        <v>Người mới</v>
      </c>
      <c r="I42" s="12" t="str">
        <f t="shared" si="5"/>
        <v>⚠️ CẦN CAN THIỆP NGAY</v>
      </c>
    </row>
    <row r="45" spans="1:9" ht="15.5" x14ac:dyDescent="0.35">
      <c r="A45" s="4" t="s">
        <v>90</v>
      </c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14" t="s">
        <v>91</v>
      </c>
      <c r="B46" t="str">
        <f>COUNTIF(F3:F42,"Tầng 1")&amp;" em ("&amp;TEXT(COUNTIF(F3:F42,"Tầng 1")*100/COUNTA(F3:F42),"0")&amp;"%)"</f>
        <v>14 em (35%)</v>
      </c>
    </row>
    <row r="47" spans="1:9" x14ac:dyDescent="0.35">
      <c r="A47" s="14" t="s">
        <v>92</v>
      </c>
      <c r="B47" t="str">
        <f>COUNTIF(F3:F42,"Tầng 2")&amp;" em ("&amp;TEXT(COUNTIF(F3:F42,"Tầng 2")*100/COUNTA(F3:F42),"0")&amp;"%)"</f>
        <v>21 em (53%)</v>
      </c>
    </row>
    <row r="48" spans="1:9" x14ac:dyDescent="0.35">
      <c r="A48" s="14" t="s">
        <v>93</v>
      </c>
      <c r="B48" t="str">
        <f>COUNTIF(F3:F42,"Tầng 3")&amp;" em ("&amp;TEXT(COUNTIF(F3:F42,"Tầng 3")*100/COUNTA(F3:F42),"0")&amp;"%)"</f>
        <v>5 em (13%)</v>
      </c>
    </row>
    <row r="50" spans="1:2" x14ac:dyDescent="0.35">
      <c r="A50" s="14" t="s">
        <v>94</v>
      </c>
      <c r="B50">
        <f>COUNTIF(F3:F42,"Tầng 1")</f>
        <v>14</v>
      </c>
    </row>
    <row r="51" spans="1:2" x14ac:dyDescent="0.35">
      <c r="A51" s="14" t="s">
        <v>95</v>
      </c>
      <c r="B51">
        <f>COUNTIF(F3:F42,"Tầng 2")</f>
        <v>21</v>
      </c>
    </row>
    <row r="52" spans="1:2" x14ac:dyDescent="0.35">
      <c r="A52" s="14" t="s">
        <v>96</v>
      </c>
      <c r="B52">
        <f>COUNTIF(F3:F42,"Tầng 3")</f>
        <v>5</v>
      </c>
    </row>
  </sheetData>
  <mergeCells count="2">
    <mergeCell ref="A1:I1"/>
    <mergeCell ref="A45:I45"/>
  </mergeCells>
  <conditionalFormatting sqref="F3:F42">
    <cfRule type="cellIs" dxfId="44" priority="2" operator="equal">
      <formula>"Tầng 1"</formula>
    </cfRule>
    <cfRule type="cellIs" dxfId="43" priority="3" operator="equal">
      <formula>"Tầng 2"</formula>
    </cfRule>
    <cfRule type="cellIs" dxfId="42" priority="4" operator="equal">
      <formula>"Tầng 3"</formula>
    </cfRule>
  </conditionalFormatting>
  <conditionalFormatting sqref="A3:I3">
    <cfRule type="expression" dxfId="41" priority="5">
      <formula>$I3&lt;&gt;""</formula>
    </cfRule>
  </conditionalFormatting>
  <conditionalFormatting sqref="A4:I4">
    <cfRule type="expression" dxfId="40" priority="6">
      <formula>$I4&lt;&gt;""</formula>
    </cfRule>
  </conditionalFormatting>
  <conditionalFormatting sqref="A5:I5">
    <cfRule type="expression" dxfId="39" priority="7">
      <formula>$I5&lt;&gt;""</formula>
    </cfRule>
  </conditionalFormatting>
  <conditionalFormatting sqref="A6:I6">
    <cfRule type="expression" dxfId="38" priority="8">
      <formula>$I6&lt;&gt;""</formula>
    </cfRule>
  </conditionalFormatting>
  <conditionalFormatting sqref="A7:I7">
    <cfRule type="expression" dxfId="37" priority="9">
      <formula>$I7&lt;&gt;""</formula>
    </cfRule>
  </conditionalFormatting>
  <conditionalFormatting sqref="A8:I8">
    <cfRule type="expression" dxfId="36" priority="10">
      <formula>$I8&lt;&gt;""</formula>
    </cfRule>
  </conditionalFormatting>
  <conditionalFormatting sqref="A9:I9">
    <cfRule type="expression" dxfId="35" priority="11">
      <formula>$I9&lt;&gt;""</formula>
    </cfRule>
  </conditionalFormatting>
  <conditionalFormatting sqref="A10:I10">
    <cfRule type="expression" dxfId="34" priority="12">
      <formula>$I10&lt;&gt;""</formula>
    </cfRule>
  </conditionalFormatting>
  <conditionalFormatting sqref="A11:I11">
    <cfRule type="expression" dxfId="33" priority="13">
      <formula>$I11&lt;&gt;""</formula>
    </cfRule>
  </conditionalFormatting>
  <conditionalFormatting sqref="A12:I12">
    <cfRule type="expression" dxfId="32" priority="14">
      <formula>$I12&lt;&gt;""</formula>
    </cfRule>
  </conditionalFormatting>
  <conditionalFormatting sqref="A13:I13">
    <cfRule type="expression" dxfId="31" priority="15">
      <formula>$I13&lt;&gt;""</formula>
    </cfRule>
  </conditionalFormatting>
  <conditionalFormatting sqref="A14:I14">
    <cfRule type="expression" dxfId="30" priority="16">
      <formula>$I14&lt;&gt;""</formula>
    </cfRule>
  </conditionalFormatting>
  <conditionalFormatting sqref="A15:I15">
    <cfRule type="expression" dxfId="29" priority="17">
      <formula>$I15&lt;&gt;""</formula>
    </cfRule>
  </conditionalFormatting>
  <conditionalFormatting sqref="A16:I16">
    <cfRule type="expression" dxfId="28" priority="18">
      <formula>$I16&lt;&gt;""</formula>
    </cfRule>
  </conditionalFormatting>
  <conditionalFormatting sqref="A17:I17">
    <cfRule type="expression" dxfId="27" priority="19">
      <formula>$I17&lt;&gt;""</formula>
    </cfRule>
  </conditionalFormatting>
  <conditionalFormatting sqref="A18:I18">
    <cfRule type="expression" dxfId="26" priority="20">
      <formula>$I18&lt;&gt;""</formula>
    </cfRule>
  </conditionalFormatting>
  <conditionalFormatting sqref="A19:I19">
    <cfRule type="expression" dxfId="25" priority="21">
      <formula>$I19&lt;&gt;""</formula>
    </cfRule>
  </conditionalFormatting>
  <conditionalFormatting sqref="A20:I20">
    <cfRule type="expression" dxfId="24" priority="22">
      <formula>$I20&lt;&gt;""</formula>
    </cfRule>
  </conditionalFormatting>
  <conditionalFormatting sqref="A21:I21">
    <cfRule type="expression" dxfId="23" priority="23">
      <formula>$I21&lt;&gt;""</formula>
    </cfRule>
  </conditionalFormatting>
  <conditionalFormatting sqref="A22:I22">
    <cfRule type="expression" dxfId="22" priority="24">
      <formula>$I22&lt;&gt;""</formula>
    </cfRule>
  </conditionalFormatting>
  <conditionalFormatting sqref="A23:I23">
    <cfRule type="expression" dxfId="21" priority="25">
      <formula>$I23&lt;&gt;""</formula>
    </cfRule>
  </conditionalFormatting>
  <conditionalFormatting sqref="A24:I24">
    <cfRule type="expression" dxfId="20" priority="26">
      <formula>$I24&lt;&gt;""</formula>
    </cfRule>
  </conditionalFormatting>
  <conditionalFormatting sqref="A25:I25">
    <cfRule type="expression" dxfId="19" priority="27">
      <formula>$I25&lt;&gt;""</formula>
    </cfRule>
  </conditionalFormatting>
  <conditionalFormatting sqref="A26:I26">
    <cfRule type="expression" dxfId="18" priority="28">
      <formula>$I26&lt;&gt;""</formula>
    </cfRule>
  </conditionalFormatting>
  <conditionalFormatting sqref="A27:I27">
    <cfRule type="expression" dxfId="17" priority="29">
      <formula>$I27&lt;&gt;""</formula>
    </cfRule>
  </conditionalFormatting>
  <conditionalFormatting sqref="A28:I28">
    <cfRule type="expression" dxfId="16" priority="30">
      <formula>$I28&lt;&gt;""</formula>
    </cfRule>
  </conditionalFormatting>
  <conditionalFormatting sqref="A29:I29">
    <cfRule type="expression" dxfId="15" priority="31">
      <formula>$I29&lt;&gt;""</formula>
    </cfRule>
  </conditionalFormatting>
  <conditionalFormatting sqref="A30:I30">
    <cfRule type="expression" dxfId="14" priority="32">
      <formula>$I30&lt;&gt;""</formula>
    </cfRule>
  </conditionalFormatting>
  <conditionalFormatting sqref="A31:I31">
    <cfRule type="expression" dxfId="13" priority="33">
      <formula>$I31&lt;&gt;""</formula>
    </cfRule>
  </conditionalFormatting>
  <conditionalFormatting sqref="A32:I32">
    <cfRule type="expression" dxfId="12" priority="34">
      <formula>$I32&lt;&gt;""</formula>
    </cfRule>
  </conditionalFormatting>
  <conditionalFormatting sqref="A33:I33">
    <cfRule type="expression" dxfId="11" priority="35">
      <formula>$I33&lt;&gt;""</formula>
    </cfRule>
  </conditionalFormatting>
  <conditionalFormatting sqref="A34:I34">
    <cfRule type="expression" dxfId="10" priority="36">
      <formula>$I34&lt;&gt;""</formula>
    </cfRule>
  </conditionalFormatting>
  <conditionalFormatting sqref="A35:I35">
    <cfRule type="expression" dxfId="9" priority="37">
      <formula>$I35&lt;&gt;""</formula>
    </cfRule>
  </conditionalFormatting>
  <conditionalFormatting sqref="A36:I36">
    <cfRule type="expression" dxfId="8" priority="38">
      <formula>$I36&lt;&gt;""</formula>
    </cfRule>
  </conditionalFormatting>
  <conditionalFormatting sqref="A37:I37">
    <cfRule type="expression" dxfId="7" priority="39">
      <formula>$I37&lt;&gt;""</formula>
    </cfRule>
  </conditionalFormatting>
  <conditionalFormatting sqref="A38:I38">
    <cfRule type="expression" dxfId="6" priority="40">
      <formula>$I38&lt;&gt;""</formula>
    </cfRule>
  </conditionalFormatting>
  <conditionalFormatting sqref="A39:I39">
    <cfRule type="expression" dxfId="5" priority="41">
      <formula>$I39&lt;&gt;""</formula>
    </cfRule>
  </conditionalFormatting>
  <conditionalFormatting sqref="A40:I40">
    <cfRule type="expression" dxfId="4" priority="42">
      <formula>$I40&lt;&gt;""</formula>
    </cfRule>
  </conditionalFormatting>
  <conditionalFormatting sqref="A41:I41">
    <cfRule type="expression" dxfId="3" priority="43">
      <formula>$I41&lt;&gt;""</formula>
    </cfRule>
  </conditionalFormatting>
  <conditionalFormatting sqref="A42:I42">
    <cfRule type="expression" dxfId="2" priority="44">
      <formula>$I42&lt;&gt;""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Normal="100" workbookViewId="0">
      <selection activeCell="D3" sqref="D3"/>
    </sheetView>
  </sheetViews>
  <sheetFormatPr defaultColWidth="8.6328125" defaultRowHeight="14.5" x14ac:dyDescent="0.35"/>
  <cols>
    <col min="1" max="1" width="10" customWidth="1"/>
    <col min="2" max="2" width="22" customWidth="1"/>
    <col min="3" max="4" width="35" customWidth="1"/>
    <col min="5" max="5" width="14" customWidth="1"/>
  </cols>
  <sheetData>
    <row r="1" spans="1:5" ht="34.5" customHeight="1" x14ac:dyDescent="0.35">
      <c r="A1" s="5" t="s">
        <v>97</v>
      </c>
      <c r="B1" s="5"/>
      <c r="C1" s="5"/>
      <c r="D1" s="5"/>
      <c r="E1" s="5"/>
    </row>
    <row r="2" spans="1:5" x14ac:dyDescent="0.35">
      <c r="A2" s="6" t="s">
        <v>98</v>
      </c>
      <c r="B2" s="6" t="s">
        <v>99</v>
      </c>
      <c r="C2" s="6" t="s">
        <v>100</v>
      </c>
      <c r="D2" s="6" t="s">
        <v>101</v>
      </c>
      <c r="E2" s="6" t="s">
        <v>102</v>
      </c>
    </row>
    <row r="3" spans="1:5" ht="54.75" customHeight="1" x14ac:dyDescent="0.35">
      <c r="A3" s="15" t="s">
        <v>103</v>
      </c>
      <c r="B3" s="16" t="s">
        <v>104</v>
      </c>
      <c r="C3" s="16" t="s">
        <v>105</v>
      </c>
      <c r="D3" s="16" t="s">
        <v>106</v>
      </c>
      <c r="E3" s="16" t="s">
        <v>107</v>
      </c>
    </row>
    <row r="4" spans="1:5" ht="54.75" customHeight="1" x14ac:dyDescent="0.35">
      <c r="A4" s="15" t="s">
        <v>108</v>
      </c>
      <c r="B4" s="16" t="s">
        <v>109</v>
      </c>
      <c r="C4" s="16" t="s">
        <v>110</v>
      </c>
      <c r="D4" s="16" t="s">
        <v>111</v>
      </c>
      <c r="E4" s="16" t="s">
        <v>112</v>
      </c>
    </row>
    <row r="5" spans="1:5" ht="54.75" customHeight="1" x14ac:dyDescent="0.35">
      <c r="A5" s="15" t="s">
        <v>113</v>
      </c>
      <c r="B5" s="16" t="s">
        <v>114</v>
      </c>
      <c r="C5" s="16" t="s">
        <v>115</v>
      </c>
      <c r="D5" s="16" t="s">
        <v>116</v>
      </c>
      <c r="E5" s="16" t="s">
        <v>117</v>
      </c>
    </row>
    <row r="6" spans="1:5" ht="54.75" customHeight="1" x14ac:dyDescent="0.35">
      <c r="A6" s="15" t="s">
        <v>118</v>
      </c>
      <c r="B6" s="16" t="s">
        <v>119</v>
      </c>
      <c r="C6" s="16" t="s">
        <v>120</v>
      </c>
      <c r="D6" s="16" t="s">
        <v>121</v>
      </c>
      <c r="E6" s="16" t="s">
        <v>112</v>
      </c>
    </row>
    <row r="7" spans="1:5" ht="54.75" customHeight="1" x14ac:dyDescent="0.35">
      <c r="A7" s="15" t="s">
        <v>122</v>
      </c>
      <c r="B7" s="16" t="s">
        <v>123</v>
      </c>
      <c r="C7" s="16" t="s">
        <v>124</v>
      </c>
      <c r="D7" s="16" t="s">
        <v>125</v>
      </c>
      <c r="E7" s="16" t="s">
        <v>126</v>
      </c>
    </row>
    <row r="8" spans="1:5" ht="54.75" customHeight="1" x14ac:dyDescent="0.35">
      <c r="A8" s="15" t="s">
        <v>127</v>
      </c>
      <c r="B8" s="16" t="s">
        <v>128</v>
      </c>
      <c r="C8" s="16" t="s">
        <v>129</v>
      </c>
      <c r="D8" s="16" t="s">
        <v>130</v>
      </c>
      <c r="E8" s="16" t="s">
        <v>112</v>
      </c>
    </row>
    <row r="9" spans="1:5" ht="54.75" customHeight="1" x14ac:dyDescent="0.35">
      <c r="A9" s="15" t="s">
        <v>131</v>
      </c>
      <c r="B9" s="16" t="s">
        <v>132</v>
      </c>
      <c r="C9" s="16" t="s">
        <v>133</v>
      </c>
      <c r="D9" s="16" t="s">
        <v>134</v>
      </c>
      <c r="E9" s="16" t="s">
        <v>135</v>
      </c>
    </row>
    <row r="10" spans="1:5" ht="54.75" customHeight="1" x14ac:dyDescent="0.35">
      <c r="A10" s="15" t="s">
        <v>136</v>
      </c>
      <c r="B10" s="16" t="s">
        <v>137</v>
      </c>
      <c r="C10" s="16" t="s">
        <v>138</v>
      </c>
      <c r="D10" s="16" t="s">
        <v>139</v>
      </c>
      <c r="E10" s="16" t="s">
        <v>135</v>
      </c>
    </row>
    <row r="13" spans="1:5" ht="15.5" x14ac:dyDescent="0.35">
      <c r="A13" s="4" t="s">
        <v>140</v>
      </c>
      <c r="B13" s="4"/>
      <c r="C13" s="4"/>
      <c r="D13" s="4"/>
      <c r="E13" s="4"/>
    </row>
    <row r="14" spans="1:5" x14ac:dyDescent="0.35">
      <c r="A14" s="17" t="s">
        <v>141</v>
      </c>
    </row>
    <row r="15" spans="1:5" x14ac:dyDescent="0.35">
      <c r="A15" s="17" t="s">
        <v>142</v>
      </c>
    </row>
    <row r="16" spans="1:5" x14ac:dyDescent="0.35">
      <c r="A16" s="17" t="s">
        <v>143</v>
      </c>
    </row>
  </sheetData>
  <mergeCells count="2">
    <mergeCell ref="A1:E1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topLeftCell="A10" zoomScaleNormal="100" workbookViewId="0">
      <selection sqref="A1:H1"/>
    </sheetView>
  </sheetViews>
  <sheetFormatPr defaultColWidth="8.6328125" defaultRowHeight="14.5" x14ac:dyDescent="0.35"/>
  <cols>
    <col min="1" max="1" width="18" customWidth="1"/>
    <col min="2" max="2" width="20" customWidth="1"/>
    <col min="3" max="3" width="22" customWidth="1"/>
    <col min="4" max="4" width="15" customWidth="1"/>
    <col min="5" max="6" width="14" customWidth="1"/>
    <col min="7" max="7" width="22" customWidth="1"/>
    <col min="8" max="8" width="14" customWidth="1"/>
  </cols>
  <sheetData>
    <row r="1" spans="1:8" ht="34.5" customHeight="1" x14ac:dyDescent="0.35">
      <c r="A1" s="5" t="s">
        <v>144</v>
      </c>
      <c r="B1" s="5"/>
      <c r="C1" s="5"/>
      <c r="D1" s="5"/>
      <c r="E1" s="5"/>
      <c r="F1" s="5"/>
      <c r="G1" s="5"/>
      <c r="H1" s="5"/>
    </row>
    <row r="3" spans="1:8" ht="15.5" x14ac:dyDescent="0.35">
      <c r="A3" s="4" t="s">
        <v>145</v>
      </c>
      <c r="B3" s="4"/>
      <c r="C3" s="4"/>
      <c r="D3" s="4"/>
      <c r="E3" s="4"/>
      <c r="F3" s="4"/>
      <c r="G3" s="4"/>
      <c r="H3" s="4"/>
    </row>
    <row r="4" spans="1:8" ht="26" x14ac:dyDescent="0.35">
      <c r="A4" s="6" t="s">
        <v>2</v>
      </c>
      <c r="B4" s="6" t="s">
        <v>146</v>
      </c>
      <c r="C4" s="6" t="s">
        <v>147</v>
      </c>
      <c r="D4" s="6" t="s">
        <v>148</v>
      </c>
      <c r="E4" s="6" t="s">
        <v>149</v>
      </c>
      <c r="F4" s="6" t="s">
        <v>150</v>
      </c>
      <c r="G4" s="6" t="s">
        <v>151</v>
      </c>
      <c r="H4" s="6" t="s">
        <v>152</v>
      </c>
    </row>
    <row r="5" spans="1:8" ht="25" x14ac:dyDescent="0.35">
      <c r="A5" s="18" t="s">
        <v>53</v>
      </c>
      <c r="B5" s="18" t="s">
        <v>153</v>
      </c>
      <c r="C5" s="18" t="s">
        <v>154</v>
      </c>
      <c r="D5" s="18" t="s">
        <v>155</v>
      </c>
      <c r="E5" s="18" t="s">
        <v>156</v>
      </c>
      <c r="F5" s="18" t="s">
        <v>157</v>
      </c>
      <c r="G5" s="18" t="s">
        <v>158</v>
      </c>
      <c r="H5" s="18" t="s">
        <v>159</v>
      </c>
    </row>
    <row r="6" spans="1:8" ht="25" x14ac:dyDescent="0.35">
      <c r="A6" s="18" t="s">
        <v>160</v>
      </c>
      <c r="B6" s="18" t="s">
        <v>161</v>
      </c>
      <c r="C6" s="18" t="s">
        <v>162</v>
      </c>
      <c r="D6" s="18" t="s">
        <v>163</v>
      </c>
      <c r="E6" s="18" t="s">
        <v>164</v>
      </c>
      <c r="F6" s="18" t="s">
        <v>165</v>
      </c>
      <c r="G6" s="18" t="s">
        <v>166</v>
      </c>
      <c r="H6" s="18" t="s">
        <v>159</v>
      </c>
    </row>
    <row r="7" spans="1:8" x14ac:dyDescent="0.35">
      <c r="A7" s="18"/>
      <c r="B7" s="18"/>
      <c r="C7" s="18"/>
      <c r="D7" s="18"/>
      <c r="E7" s="18"/>
      <c r="F7" s="18"/>
      <c r="G7" s="18"/>
      <c r="H7" s="18"/>
    </row>
    <row r="8" spans="1:8" x14ac:dyDescent="0.35">
      <c r="A8" s="18"/>
      <c r="B8" s="18"/>
      <c r="C8" s="18"/>
      <c r="D8" s="18"/>
      <c r="E8" s="18"/>
      <c r="F8" s="18"/>
      <c r="G8" s="18"/>
      <c r="H8" s="18"/>
    </row>
    <row r="9" spans="1:8" x14ac:dyDescent="0.35">
      <c r="A9" s="18"/>
      <c r="B9" s="18"/>
      <c r="C9" s="18"/>
      <c r="D9" s="18"/>
      <c r="E9" s="18"/>
      <c r="F9" s="18"/>
      <c r="G9" s="18"/>
      <c r="H9" s="18"/>
    </row>
    <row r="12" spans="1:8" ht="15.5" x14ac:dyDescent="0.35">
      <c r="A12" s="4" t="s">
        <v>167</v>
      </c>
      <c r="B12" s="4"/>
      <c r="C12" s="4"/>
      <c r="D12" s="4"/>
      <c r="E12" s="4"/>
      <c r="F12" s="4"/>
      <c r="G12" s="4"/>
      <c r="H12" s="4"/>
    </row>
    <row r="13" spans="1:8" ht="26" x14ac:dyDescent="0.35">
      <c r="A13" s="6" t="s">
        <v>2</v>
      </c>
      <c r="B13" s="6" t="s">
        <v>168</v>
      </c>
      <c r="C13" s="6" t="s">
        <v>169</v>
      </c>
      <c r="D13" s="6" t="s">
        <v>170</v>
      </c>
      <c r="E13" s="6" t="s">
        <v>171</v>
      </c>
      <c r="F13" s="6" t="s">
        <v>172</v>
      </c>
    </row>
    <row r="14" spans="1:8" ht="60" customHeight="1" x14ac:dyDescent="0.35">
      <c r="A14" s="18" t="s">
        <v>75</v>
      </c>
      <c r="B14" s="18" t="s">
        <v>173</v>
      </c>
      <c r="C14" s="18" t="s">
        <v>174</v>
      </c>
      <c r="D14" s="18" t="s">
        <v>175</v>
      </c>
      <c r="E14" s="18" t="s">
        <v>176</v>
      </c>
      <c r="F14" s="18" t="s">
        <v>177</v>
      </c>
    </row>
    <row r="15" spans="1:8" ht="60" customHeight="1" x14ac:dyDescent="0.35">
      <c r="A15" s="18"/>
      <c r="B15" s="18"/>
      <c r="C15" s="18"/>
      <c r="D15" s="18"/>
      <c r="E15" s="18"/>
      <c r="F15" s="18"/>
    </row>
    <row r="16" spans="1:8" ht="60" customHeight="1" x14ac:dyDescent="0.35">
      <c r="A16" s="18"/>
      <c r="B16" s="18"/>
      <c r="C16" s="18"/>
      <c r="D16" s="18"/>
      <c r="E16" s="18"/>
      <c r="F16" s="18"/>
    </row>
  </sheetData>
  <mergeCells count="3">
    <mergeCell ref="A1:H1"/>
    <mergeCell ref="A3:H3"/>
    <mergeCell ref="A12:H12"/>
  </mergeCells>
  <conditionalFormatting sqref="H5:H20">
    <cfRule type="cellIs" dxfId="1" priority="2" operator="equal">
      <formula>"Đang cải thiện"</formula>
    </cfRule>
    <cfRule type="cellIs" dxfId="0" priority="3" operator="equal">
      <formula>"Chưa tiến triển"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zoomScaleNormal="100" workbookViewId="0">
      <selection sqref="A1:F1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6" customWidth="1"/>
    <col min="4" max="4" width="30" customWidth="1"/>
    <col min="5" max="5" width="16" customWidth="1"/>
    <col min="6" max="6" width="18" customWidth="1"/>
    <col min="7" max="7" width="14" customWidth="1"/>
  </cols>
  <sheetData>
    <row r="1" spans="1:7" ht="34.5" customHeight="1" x14ac:dyDescent="0.35">
      <c r="A1" s="5" t="s">
        <v>178</v>
      </c>
      <c r="B1" s="5"/>
      <c r="C1" s="5"/>
      <c r="D1" s="5"/>
      <c r="E1" s="5"/>
      <c r="F1" s="5"/>
    </row>
    <row r="3" spans="1:7" ht="15.5" x14ac:dyDescent="0.35">
      <c r="A3" s="4" t="s">
        <v>179</v>
      </c>
      <c r="B3" s="4"/>
      <c r="C3" s="4"/>
      <c r="D3" s="4"/>
      <c r="E3" s="4"/>
      <c r="F3" s="4"/>
    </row>
    <row r="4" spans="1:7" x14ac:dyDescent="0.35">
      <c r="A4" s="6" t="s">
        <v>180</v>
      </c>
      <c r="B4" s="6" t="s">
        <v>181</v>
      </c>
      <c r="C4" s="6" t="s">
        <v>182</v>
      </c>
      <c r="D4" s="6" t="s">
        <v>183</v>
      </c>
      <c r="E4" s="6" t="s">
        <v>184</v>
      </c>
      <c r="F4" s="6" t="s">
        <v>185</v>
      </c>
    </row>
    <row r="5" spans="1:7" ht="39.75" customHeight="1" x14ac:dyDescent="0.35">
      <c r="A5" s="15" t="s">
        <v>186</v>
      </c>
      <c r="B5" s="16" t="s">
        <v>187</v>
      </c>
      <c r="C5" s="15">
        <v>10</v>
      </c>
      <c r="D5" s="16" t="s">
        <v>188</v>
      </c>
      <c r="E5" s="15" t="s">
        <v>189</v>
      </c>
      <c r="F5" s="16" t="s">
        <v>190</v>
      </c>
    </row>
    <row r="6" spans="1:7" ht="39.75" customHeight="1" x14ac:dyDescent="0.35">
      <c r="A6" s="15" t="s">
        <v>191</v>
      </c>
      <c r="B6" s="16" t="s">
        <v>192</v>
      </c>
      <c r="C6" s="15">
        <v>20</v>
      </c>
      <c r="D6" s="16" t="s">
        <v>193</v>
      </c>
      <c r="E6" s="15" t="s">
        <v>194</v>
      </c>
      <c r="F6" s="16" t="s">
        <v>195</v>
      </c>
    </row>
    <row r="7" spans="1:7" ht="39.75" customHeight="1" x14ac:dyDescent="0.35">
      <c r="A7" s="15" t="s">
        <v>196</v>
      </c>
      <c r="B7" s="16" t="s">
        <v>197</v>
      </c>
      <c r="C7" s="15">
        <v>50</v>
      </c>
      <c r="D7" s="16" t="s">
        <v>198</v>
      </c>
      <c r="E7" s="15" t="s">
        <v>199</v>
      </c>
      <c r="F7" s="16" t="s">
        <v>200</v>
      </c>
    </row>
    <row r="8" spans="1:7" ht="39.75" customHeight="1" x14ac:dyDescent="0.35">
      <c r="A8" s="15" t="s">
        <v>201</v>
      </c>
      <c r="B8" s="16" t="s">
        <v>202</v>
      </c>
      <c r="C8" s="15">
        <v>30</v>
      </c>
      <c r="D8" s="16" t="s">
        <v>203</v>
      </c>
      <c r="E8" s="15" t="s">
        <v>204</v>
      </c>
      <c r="F8" s="16" t="s">
        <v>205</v>
      </c>
    </row>
    <row r="9" spans="1:7" ht="39.75" customHeight="1" x14ac:dyDescent="0.35">
      <c r="A9" s="15" t="s">
        <v>206</v>
      </c>
      <c r="B9" s="16" t="s">
        <v>207</v>
      </c>
      <c r="C9" s="15">
        <v>100</v>
      </c>
      <c r="D9" s="16" t="s">
        <v>208</v>
      </c>
      <c r="E9" s="15" t="s">
        <v>209</v>
      </c>
      <c r="F9" s="16" t="s">
        <v>210</v>
      </c>
    </row>
    <row r="10" spans="1:7" ht="39.75" customHeight="1" x14ac:dyDescent="0.35">
      <c r="A10" s="15" t="s">
        <v>211</v>
      </c>
      <c r="B10" s="16" t="s">
        <v>212</v>
      </c>
      <c r="C10" s="15">
        <v>80</v>
      </c>
      <c r="D10" s="16" t="s">
        <v>213</v>
      </c>
      <c r="E10" s="15" t="s">
        <v>214</v>
      </c>
      <c r="F10" s="16" t="s">
        <v>215</v>
      </c>
    </row>
    <row r="13" spans="1:7" ht="15.5" x14ac:dyDescent="0.35">
      <c r="A13" s="4" t="s">
        <v>216</v>
      </c>
      <c r="B13" s="4"/>
      <c r="C13" s="4"/>
      <c r="D13" s="4"/>
      <c r="E13" s="4"/>
      <c r="F13" s="4"/>
      <c r="G13" s="4"/>
    </row>
    <row r="14" spans="1:7" x14ac:dyDescent="0.35">
      <c r="A14" s="6" t="s">
        <v>217</v>
      </c>
      <c r="B14" s="6" t="s">
        <v>2</v>
      </c>
      <c r="C14" s="6" t="s">
        <v>180</v>
      </c>
      <c r="D14" s="6" t="s">
        <v>181</v>
      </c>
      <c r="E14" s="6" t="s">
        <v>218</v>
      </c>
      <c r="F14" s="6" t="s">
        <v>219</v>
      </c>
      <c r="G14" s="6" t="s">
        <v>220</v>
      </c>
    </row>
    <row r="15" spans="1:7" x14ac:dyDescent="0.35">
      <c r="A15" s="19" t="s">
        <v>164</v>
      </c>
      <c r="B15" s="19" t="s">
        <v>35</v>
      </c>
      <c r="C15" s="19" t="s">
        <v>186</v>
      </c>
      <c r="D15" s="19" t="s">
        <v>187</v>
      </c>
      <c r="E15" s="19">
        <v>-10</v>
      </c>
      <c r="F15" s="19">
        <f>VLOOKUP(B15,'Tổng hợp Tháng'!B:C,2,FALSE())+E15</f>
        <v>155</v>
      </c>
      <c r="G15" s="19" t="s">
        <v>155</v>
      </c>
    </row>
    <row r="16" spans="1:7" x14ac:dyDescent="0.35">
      <c r="A16" s="19" t="s">
        <v>221</v>
      </c>
      <c r="B16" s="19" t="s">
        <v>37</v>
      </c>
      <c r="C16" s="19" t="s">
        <v>191</v>
      </c>
      <c r="D16" s="19" t="s">
        <v>192</v>
      </c>
      <c r="E16" s="19">
        <v>-20</v>
      </c>
      <c r="F16" s="19">
        <f>VLOOKUP(B16,'Tổng hợp Tháng'!B:C,2,FALSE())+E16</f>
        <v>131</v>
      </c>
      <c r="G16" s="19" t="s">
        <v>155</v>
      </c>
    </row>
    <row r="17" spans="1:7" x14ac:dyDescent="0.35">
      <c r="A17" s="19"/>
      <c r="B17" s="19"/>
      <c r="C17" s="19"/>
      <c r="D17" s="19"/>
      <c r="E17" s="19"/>
      <c r="F17" s="19"/>
      <c r="G17" s="19"/>
    </row>
    <row r="18" spans="1:7" x14ac:dyDescent="0.35">
      <c r="A18" s="19"/>
      <c r="B18" s="19"/>
      <c r="C18" s="19"/>
      <c r="D18" s="19"/>
      <c r="E18" s="19"/>
      <c r="F18" s="19"/>
      <c r="G18" s="19"/>
    </row>
    <row r="19" spans="1:7" x14ac:dyDescent="0.35">
      <c r="A19" s="19"/>
      <c r="B19" s="19"/>
      <c r="C19" s="19"/>
      <c r="D19" s="19"/>
      <c r="E19" s="19"/>
      <c r="F19" s="19"/>
      <c r="G19" s="19"/>
    </row>
  </sheetData>
  <mergeCells count="3">
    <mergeCell ref="A1:F1"/>
    <mergeCell ref="A3:F3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topLeftCell="A22" zoomScaleNormal="100" workbookViewId="0">
      <selection sqref="A1:H1"/>
    </sheetView>
  </sheetViews>
  <sheetFormatPr defaultColWidth="8.6328125" defaultRowHeight="14.5" x14ac:dyDescent="0.35"/>
  <cols>
    <col min="1" max="2" width="18" customWidth="1"/>
    <col min="3" max="4" width="15" customWidth="1"/>
  </cols>
  <sheetData>
    <row r="1" spans="1:8" ht="34.5" customHeight="1" x14ac:dyDescent="0.35">
      <c r="A1" s="5" t="s">
        <v>222</v>
      </c>
      <c r="B1" s="5"/>
      <c r="C1" s="5"/>
      <c r="D1" s="5"/>
      <c r="E1" s="5"/>
      <c r="F1" s="5"/>
      <c r="G1" s="5"/>
      <c r="H1" s="5"/>
    </row>
    <row r="3" spans="1:8" ht="15.5" x14ac:dyDescent="0.35">
      <c r="A3" s="13" t="s">
        <v>223</v>
      </c>
    </row>
    <row r="4" spans="1:8" x14ac:dyDescent="0.35">
      <c r="A4" s="20" t="s">
        <v>224</v>
      </c>
      <c r="B4" s="20" t="s">
        <v>83</v>
      </c>
    </row>
    <row r="5" spans="1:8" x14ac:dyDescent="0.35">
      <c r="A5" s="10" t="s">
        <v>225</v>
      </c>
      <c r="B5" s="10">
        <f>SUM('Theo dõi Ngày'!C3:I42)</f>
        <v>988</v>
      </c>
    </row>
    <row r="6" spans="1:8" x14ac:dyDescent="0.35">
      <c r="A6" s="10" t="s">
        <v>226</v>
      </c>
      <c r="B6" s="10">
        <f>SUM('Theo dõi Ngày'!J3:P42)</f>
        <v>952</v>
      </c>
    </row>
    <row r="7" spans="1:8" x14ac:dyDescent="0.35">
      <c r="A7" s="10" t="s">
        <v>227</v>
      </c>
      <c r="B7" s="10">
        <f>SUM('Theo dõi Ngày'!Q3:W42)</f>
        <v>945</v>
      </c>
    </row>
    <row r="8" spans="1:8" x14ac:dyDescent="0.35">
      <c r="A8" s="10" t="s">
        <v>228</v>
      </c>
      <c r="B8" s="10">
        <f>SUM('Theo dõi Ngày'!X3:AF42)</f>
        <v>1310</v>
      </c>
    </row>
    <row r="12" spans="1:8" ht="15.5" x14ac:dyDescent="0.35">
      <c r="A12" s="13" t="s">
        <v>229</v>
      </c>
    </row>
    <row r="13" spans="1:8" x14ac:dyDescent="0.35">
      <c r="A13" s="21" t="s">
        <v>2</v>
      </c>
      <c r="B13" s="21" t="s">
        <v>83</v>
      </c>
    </row>
    <row r="14" spans="1:8" x14ac:dyDescent="0.35">
      <c r="A14" t="str">
        <f>'Tổng hợp Tháng'!B3</f>
        <v>Lê Văn C</v>
      </c>
      <c r="B14">
        <f>'Tổng hợp Tháng'!C3</f>
        <v>165</v>
      </c>
    </row>
    <row r="15" spans="1:8" x14ac:dyDescent="0.35">
      <c r="A15" t="str">
        <f>'Tổng hợp Tháng'!B4</f>
        <v>Nguyễn Văn A</v>
      </c>
      <c r="B15">
        <f>'Tổng hợp Tháng'!C4</f>
        <v>151</v>
      </c>
    </row>
    <row r="16" spans="1:8" x14ac:dyDescent="0.35">
      <c r="A16" t="str">
        <f>'Tổng hợp Tháng'!B5</f>
        <v>Trần Minh D</v>
      </c>
      <c r="B16">
        <f>'Tổng hợp Tháng'!C5</f>
        <v>167</v>
      </c>
    </row>
    <row r="17" spans="1:8" x14ac:dyDescent="0.35">
      <c r="A17" t="str">
        <f>'Tổng hợp Tháng'!B6</f>
        <v>Phạm Thị E</v>
      </c>
      <c r="B17">
        <f>'Tổng hợp Tháng'!C6</f>
        <v>169</v>
      </c>
    </row>
    <row r="18" spans="1:8" x14ac:dyDescent="0.35">
      <c r="A18" t="str">
        <f>'Tổng hợp Tháng'!B7</f>
        <v>Hoàng Văn F</v>
      </c>
      <c r="B18">
        <f>'Tổng hợp Tháng'!C7</f>
        <v>165</v>
      </c>
    </row>
    <row r="19" spans="1:8" x14ac:dyDescent="0.35">
      <c r="A19" t="str">
        <f>'Tổng hợp Tháng'!B8</f>
        <v>Đỗ Thị G</v>
      </c>
      <c r="B19">
        <f>'Tổng hợp Tháng'!C8</f>
        <v>124</v>
      </c>
    </row>
    <row r="20" spans="1:8" x14ac:dyDescent="0.35">
      <c r="A20" t="str">
        <f>'Tổng hợp Tháng'!B9</f>
        <v>Vũ Văn H</v>
      </c>
      <c r="B20">
        <f>'Tổng hợp Tháng'!C9</f>
        <v>118</v>
      </c>
    </row>
    <row r="21" spans="1:8" x14ac:dyDescent="0.35">
      <c r="A21" t="str">
        <f>'Tổng hợp Tháng'!B10</f>
        <v>Bùi Thị I</v>
      </c>
      <c r="B21">
        <f>'Tổng hợp Tháng'!C10</f>
        <v>112</v>
      </c>
    </row>
    <row r="22" spans="1:8" x14ac:dyDescent="0.35">
      <c r="A22" t="str">
        <f>'Tổng hợp Tháng'!B11</f>
        <v>Ngô Văn K</v>
      </c>
      <c r="B22">
        <f>'Tổng hợp Tháng'!C11</f>
        <v>111</v>
      </c>
    </row>
    <row r="23" spans="1:8" x14ac:dyDescent="0.35">
      <c r="A23" t="str">
        <f>'Tổng hợp Tháng'!B12</f>
        <v>Đặng Thị L</v>
      </c>
      <c r="B23">
        <f>'Tổng hợp Tháng'!C12</f>
        <v>116</v>
      </c>
    </row>
    <row r="30" spans="1:8" ht="18" x14ac:dyDescent="0.4">
      <c r="A30" s="3" t="s">
        <v>230</v>
      </c>
      <c r="B30" s="3"/>
      <c r="C30" s="3"/>
      <c r="D30" s="3"/>
      <c r="E30" s="3"/>
      <c r="F30" s="3"/>
      <c r="G30" s="3"/>
      <c r="H30" s="3"/>
    </row>
    <row r="32" spans="1:8" x14ac:dyDescent="0.35">
      <c r="A32" s="2" t="s">
        <v>231</v>
      </c>
      <c r="B32" s="2"/>
      <c r="C32" s="2"/>
    </row>
    <row r="33" spans="1:3" ht="15.5" x14ac:dyDescent="0.35">
      <c r="A33" t="s">
        <v>232</v>
      </c>
      <c r="B33" s="22">
        <f>SUM('Tổng hợp Tháng'!C:C)</f>
        <v>4195</v>
      </c>
    </row>
    <row r="34" spans="1:3" x14ac:dyDescent="0.35">
      <c r="A34" t="s">
        <v>233</v>
      </c>
      <c r="B34">
        <f>AVERAGE('Tổng hợp Tháng'!C3:C42)</f>
        <v>104.875</v>
      </c>
    </row>
    <row r="35" spans="1:3" x14ac:dyDescent="0.35">
      <c r="A35" t="s">
        <v>234</v>
      </c>
      <c r="B35">
        <f>COUNTIF('Tổng hợp Tháng'!C:C,"&gt;=100")</f>
        <v>26</v>
      </c>
    </row>
    <row r="37" spans="1:3" x14ac:dyDescent="0.35">
      <c r="A37" s="2" t="s">
        <v>235</v>
      </c>
      <c r="B37" s="2"/>
      <c r="C37" s="2"/>
    </row>
    <row r="38" spans="1:3" x14ac:dyDescent="0.35">
      <c r="A38" t="s">
        <v>91</v>
      </c>
      <c r="B38" s="23" t="str">
        <f>COUNTIF('Tổng hợp Tháng'!F:F,"Tầng 1")&amp;" em"</f>
        <v>14 em</v>
      </c>
    </row>
    <row r="39" spans="1:3" x14ac:dyDescent="0.35">
      <c r="A39" t="s">
        <v>92</v>
      </c>
      <c r="B39" s="24" t="str">
        <f>COUNTIF('Tổng hợp Tháng'!F:F,"Tầng 2")&amp;" em"</f>
        <v>21 em</v>
      </c>
    </row>
    <row r="40" spans="1:3" x14ac:dyDescent="0.35">
      <c r="A40" t="s">
        <v>93</v>
      </c>
      <c r="B40" s="25" t="str">
        <f>COUNTIF('Tổng hợp Tháng'!F:F,"Tầng 3")&amp;" em"</f>
        <v>5 em</v>
      </c>
    </row>
    <row r="42" spans="1:3" x14ac:dyDescent="0.35">
      <c r="A42" s="1" t="s">
        <v>236</v>
      </c>
      <c r="B42" s="1"/>
      <c r="C42" s="1"/>
    </row>
    <row r="43" spans="1:3" x14ac:dyDescent="0.35">
      <c r="A43" t="s">
        <v>237</v>
      </c>
      <c r="B43" t="str">
        <f>COUNTIF('Tổng hợp Tháng'!F:F,"Tầng 2")&amp;" em"</f>
        <v>21 em</v>
      </c>
    </row>
    <row r="44" spans="1:3" x14ac:dyDescent="0.35">
      <c r="A44" t="s">
        <v>238</v>
      </c>
      <c r="B44" t="str">
        <f>COUNTIF('Tổng hợp Tháng'!F:F,"Tầng 3")&amp;" em"</f>
        <v>5 em</v>
      </c>
    </row>
  </sheetData>
  <mergeCells count="5">
    <mergeCell ref="A1:H1"/>
    <mergeCell ref="A30:H30"/>
    <mergeCell ref="A32:C32"/>
    <mergeCell ref="A37:C37"/>
    <mergeCell ref="A42:C4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Theo dõi Ngày</vt:lpstr>
      <vt:lpstr>Tổng hợp Tháng</vt:lpstr>
      <vt:lpstr>Danh mục Hành vi</vt:lpstr>
      <vt:lpstr>Can thiệp Tầng 2-3</vt:lpstr>
      <vt:lpstr>Phần thưởng &amp; Đổi điểm</vt:lpstr>
      <vt:lpstr>Biểu đồ &amp; 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2026-04-16T12:24:45Z</dcterms:created>
  <dcterms:modified xsi:type="dcterms:W3CDTF">2026-04-16T12:33:50Z</dcterms:modified>
  <dc:language>en-US</dc:language>
</cp:coreProperties>
</file>